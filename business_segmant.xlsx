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ICA\Desktop\"/>
    </mc:Choice>
  </mc:AlternateContent>
  <xr:revisionPtr revIDLastSave="0" documentId="13_ncr:1_{15CB0229-DED7-4C19-9452-67508D02F132}" xr6:coauthVersionLast="47" xr6:coauthVersionMax="47" xr10:uidLastSave="{00000000-0000-0000-0000-000000000000}"/>
  <bookViews>
    <workbookView xWindow="-108" yWindow="-108" windowWidth="23256" windowHeight="13176" xr2:uid="{4FFBD545-15B9-459C-9943-FBD2D9413B7A}"/>
  </bookViews>
  <sheets>
    <sheet name="Sheet6" sheetId="7" r:id="rId1"/>
  </sheets>
  <definedNames>
    <definedName name="_xlnm._FilterDatabase" localSheetId="0" hidden="1">Sheet6!$A$1:$M$93</definedName>
    <definedName name="SAPCrosstab1">#REF!</definedName>
    <definedName name="SAPCrosstab2">#REF!</definedName>
    <definedName name="SAPCrosstab3">#REF!</definedName>
    <definedName name="SAPCrosstab4">#REF!</definedName>
    <definedName name="SAPCrosstab5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7" l="1"/>
  <c r="F34" i="7"/>
  <c r="F41" i="7"/>
  <c r="F46" i="7"/>
  <c r="F48" i="7"/>
  <c r="F53" i="7"/>
  <c r="F55" i="7"/>
  <c r="F60" i="7"/>
  <c r="F62" i="7"/>
  <c r="F74" i="7"/>
  <c r="F93" i="7"/>
  <c r="F87" i="7"/>
  <c r="F88" i="7"/>
  <c r="F82" i="7"/>
  <c r="F81" i="7"/>
  <c r="F76" i="7"/>
  <c r="F69" i="7"/>
  <c r="F6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F66A2-551B-4C79-8F09-6315754331A0}" keepAlive="1" name="Query - 2012" description="Connection to the '2012' query in the workbook." type="5" refreshedVersion="0" background="1">
    <dbPr connection="Provider=Microsoft.Mashup.OleDb.1;Data Source=$Workbook$;Location=2012;Extended Properties=&quot;&quot;" command="SELECT * FROM [2012]"/>
  </connection>
  <connection id="2" xr16:uid="{2041FF74-A492-4996-99EA-D058988E7AA3}" keepAlive="1" name="Query - 2012 (2)" description="Connection to the '2012 (2)' query in the workbook." type="5" refreshedVersion="0" background="1">
    <dbPr connection="Provider=Microsoft.Mashup.OleDb.1;Data Source=$Workbook$;Location=&quot;2012 (2)&quot;;Extended Properties=&quot;&quot;" command="SELECT * FROM [2012 (2)]"/>
  </connection>
  <connection id="3" xr16:uid="{F84834D9-6218-438A-9B8D-53497C2479E0}" keepAlive="1" name="Query - 2013" description="Connection to the '2013' query in the workbook." type="5" refreshedVersion="0" background="1">
    <dbPr connection="Provider=Microsoft.Mashup.OleDb.1;Data Source=$Workbook$;Location=2013;Extended Properties=&quot;&quot;" command="SELECT * FROM [2013]"/>
  </connection>
  <connection id="4" xr16:uid="{0AEE7AE8-F090-46CD-87A9-3D5167F72689}" keepAlive="1" name="Query - 2013 (2)" description="Connection to the '2013 (2)' query in the workbook." type="5" refreshedVersion="0" background="1">
    <dbPr connection="Provider=Microsoft.Mashup.OleDb.1;Data Source=$Workbook$;Location=&quot;2013 (2)&quot;;Extended Properties=&quot;&quot;" command="SELECT * FROM [2013 (2)]"/>
  </connection>
  <connection id="5" xr16:uid="{BA72135A-D8AC-48F5-BEFE-D30839DF0E5F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6" xr16:uid="{813D094F-A0C5-4264-A6EA-76E3ABA27179}" keepAlive="1" name="Query - 2014 (2)" description="Connection to the '2014 (2)' query in the workbook." type="5" refreshedVersion="0" background="1">
    <dbPr connection="Provider=Microsoft.Mashup.OleDb.1;Data Source=$Workbook$;Location=&quot;2014 (2)&quot;;Extended Properties=&quot;&quot;" command="SELECT * FROM [2014 (2)]"/>
  </connection>
  <connection id="7" xr16:uid="{F4DEE055-C997-430B-983F-880B21D748DA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8" xr16:uid="{24FE770E-088B-428C-96AB-4523760AA27D}" keepAlive="1" name="Query - 2015 (2)" description="Connection to the '2015 (2)' query in the workbook." type="5" refreshedVersion="0" background="1">
    <dbPr connection="Provider=Microsoft.Mashup.OleDb.1;Data Source=$Workbook$;Location=&quot;2015 (2)&quot;;Extended Properties=&quot;&quot;" command="SELECT * FROM [2015 (2)]"/>
  </connection>
  <connection id="9" xr16:uid="{D7EEA9B0-A5DA-4D48-B5D0-CBD9255600BA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10" xr16:uid="{57CD931A-AB47-42E1-AF7F-DABE26672357}" keepAlive="1" name="Query - 2016 (2)" description="Connection to the '2016 (2)' query in the workbook." type="5" refreshedVersion="0" background="1">
    <dbPr connection="Provider=Microsoft.Mashup.OleDb.1;Data Source=$Workbook$;Location=&quot;2016 (2)&quot;;Extended Properties=&quot;&quot;" command="SELECT * FROM [2016 (2)]"/>
  </connection>
  <connection id="11" xr16:uid="{343C8C36-D7C2-4A83-BA9F-AE108F2DCD88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12" xr16:uid="{E0B3A3A2-3401-44C5-954E-EF646E4D9AA9}" keepAlive="1" name="Query - 2017 (2)" description="Connection to the '2017 (2)' query in the workbook." type="5" refreshedVersion="0" background="1">
    <dbPr connection="Provider=Microsoft.Mashup.OleDb.1;Data Source=$Workbook$;Location=&quot;2017 (2)&quot;;Extended Properties=&quot;&quot;" command="SELECT * FROM [2017 (2)]"/>
  </connection>
  <connection id="13" xr16:uid="{0D69DE19-8E8A-4BD9-9BD2-A1E5B56AD967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14" xr16:uid="{AE6CA3A0-1E22-4D01-BDB2-BD1CD52F3271}" keepAlive="1" name="Query - 2018 (2)" description="Connection to the '2018 (2)' query in the workbook." type="5" refreshedVersion="0" background="1">
    <dbPr connection="Provider=Microsoft.Mashup.OleDb.1;Data Source=$Workbook$;Location=&quot;2018 (2)&quot;;Extended Properties=&quot;&quot;" command="SELECT * FROM [2018 (2)]"/>
  </connection>
  <connection id="15" xr16:uid="{A0EC64AC-9C78-4B46-835E-AD843379A393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16" xr16:uid="{E1AD39F3-DEA4-4BD3-9DE9-BCE1F5897A43}" keepAlive="1" name="Query - 2019 (2)" description="Connection to the '2019 (2)' query in the workbook." type="5" refreshedVersion="0" background="1">
    <dbPr connection="Provider=Microsoft.Mashup.OleDb.1;Data Source=$Workbook$;Location=&quot;2019 (2)&quot;;Extended Properties=&quot;&quot;" command="SELECT * FROM [2019 (2)]"/>
  </connection>
  <connection id="17" xr16:uid="{7EEF3C72-A87C-462C-A349-4AA7CBE5776C}" keepAlive="1" name="Query - 2020" description="Connection to the '2020' query in the workbook." type="5" refreshedVersion="0" background="1">
    <dbPr connection="Provider=Microsoft.Mashup.OleDb.1;Data Source=$Workbook$;Location=2020;Extended Properties=&quot;&quot;" command="SELECT * FROM [2020]"/>
  </connection>
  <connection id="18" xr16:uid="{DF36975D-A9A6-429D-937C-AF4D8A25C648}" keepAlive="1" name="Query - 2020 (2)" description="Connection to the '2020 (2)' query in the workbook." type="5" refreshedVersion="0" background="1">
    <dbPr connection="Provider=Microsoft.Mashup.OleDb.1;Data Source=$Workbook$;Location=&quot;2020 (2)&quot;;Extended Properties=&quot;&quot;" command="SELECT * FROM [2020 (2)]"/>
  </connection>
  <connection id="19" xr16:uid="{846D9421-A4C3-4540-A781-AEB6D851C05F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20" xr16:uid="{B349FCC7-6160-4480-99A1-BD5E57C01E6B}" keepAlive="1" name="Query - 2021 (2)" description="Connection to the '2021 (2)' query in the workbook." type="5" refreshedVersion="0" background="1">
    <dbPr connection="Provider=Microsoft.Mashup.OleDb.1;Data Source=$Workbook$;Location=&quot;2021 (2)&quot;;Extended Properties=&quot;&quot;" command="SELECT * FROM [2021 (2)]"/>
  </connection>
  <connection id="21" xr16:uid="{8913F899-C062-4BA1-9FF5-B53FC7EF20E3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22" xr16:uid="{8AEEAFEB-8058-47F1-BDF6-C442BE18AB7C}" keepAlive="1" name="Query - 2022 (2)" description="Connection to the '2022 (2)' query in the workbook." type="5" refreshedVersion="0" background="1">
    <dbPr connection="Provider=Microsoft.Mashup.OleDb.1;Data Source=$Workbook$;Location=&quot;2022 (2)&quot;;Extended Properties=&quot;&quot;" command="SELECT * FROM [2022 (2)]"/>
  </connection>
  <connection id="23" xr16:uid="{B2A6542F-6F20-4BA9-97E6-4F760E58C0A3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24" xr16:uid="{78EEE07A-120B-4DC7-A0A0-11F420D97758}" keepAlive="1" name="Query - 2023 (2)" description="Connection to the '2023 (2)' query in the workbook." type="5" refreshedVersion="0" background="1">
    <dbPr connection="Provider=Microsoft.Mashup.OleDb.1;Data Source=$Workbook$;Location=&quot;2023 (2)&quot;;Extended Properties=&quot;&quot;" command="SELECT * FROM [2023 (2)]"/>
  </connection>
  <connection id="25" xr16:uid="{AA6C73CF-B874-4A7D-AF81-202B8F5C262F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26" xr16:uid="{9ED8C598-D9FC-4F27-A041-8E3759151619}" keepAlive="1" name="Query - 2024 (2)" description="Connection to the '2024 (2)' query in the workbook." type="5" refreshedVersion="0" background="1">
    <dbPr connection="Provider=Microsoft.Mashup.OleDb.1;Data Source=$Workbook$;Location=&quot;2024 (2)&quot;;Extended Properties=&quot;&quot;" command="SELECT * FROM [2024 (2)]"/>
  </connection>
  <connection id="27" xr16:uid="{2B883B1D-3FAD-474B-B362-C5A27035F8AF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28" xr16:uid="{D098DAD1-2C63-4C53-A9B9-3210911BA425}" keepAlive="1" name="Query - 2025 (2)" description="Connection to the '2025 (2)' query in the workbook." type="5" refreshedVersion="0" background="1">
    <dbPr connection="Provider=Microsoft.Mashup.OleDb.1;Data Source=$Workbook$;Location=&quot;2025 (2)&quot;;Extended Properties=&quot;&quot;" command="SELECT * FROM [2025 (2)]"/>
  </connection>
  <connection id="29" xr16:uid="{11155526-0A15-4775-9B75-4F6FC68BCF12}" keepAlive="1" name="Query - AllData" description="Connection to the 'AllData' query in the workbook." type="5" refreshedVersion="0" background="1">
    <dbPr connection="Provider=Microsoft.Mashup.OleDb.1;Data Source=$Workbook$;Location=AllData;Extended Properties=&quot;&quot;" command="SELECT * FROM [AllData]"/>
  </connection>
  <connection id="30" xr16:uid="{A8866DBC-B5B0-4091-8F11-E1180F6F07A0}" keepAlive="1" name="Query - AllData (2)" description="Connection to the 'AllData (2)' query in the workbook." type="5" refreshedVersion="0" background="1">
    <dbPr connection="Provider=Microsoft.Mashup.OleDb.1;Data Source=$Workbook$;Location=&quot;AllData (2)&quot;;Extended Properties=&quot;&quot;" command="SELECT * FROM [AllData (2)]"/>
  </connection>
  <connection id="31" xr16:uid="{C098911C-8050-4B74-8055-E0E5F0B31C74}" keepAlive="1" name="Query - Mapping" description="Connection to the 'Mapping' query in the workbook." type="5" refreshedVersion="0" background="1">
    <dbPr connection="Provider=Microsoft.Mashup.OleDb.1;Data Source=$Workbook$;Location=Mapping;Extended Properties=&quot;&quot;" command="SELECT * FROM [Mapping]"/>
  </connection>
  <connection id="32" xr16:uid="{F1EFCD89-488B-4C5A-B356-F1E6BD55F538}" keepAlive="1" name="Query - Mapping (2)" description="Connection to the 'Mapping (2)' query in the workbook." type="5" refreshedVersion="0" background="1">
    <dbPr connection="Provider=Microsoft.Mashup.OleDb.1;Data Source=$Workbook$;Location=&quot;Mapping (2)&quot;;Extended Properties=&quot;&quot;" command="SELECT * FROM [Mapping (2)]"/>
  </connection>
  <connection id="33" xr16:uid="{BB787803-39F4-449E-BF8E-59DE88DC21F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4" xr16:uid="{E94C914D-23EA-4D1C-A283-0EBAC6B3FFC4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</connections>
</file>

<file path=xl/sharedStrings.xml><?xml version="1.0" encoding="utf-8"?>
<sst xmlns="http://schemas.openxmlformats.org/spreadsheetml/2006/main" count="197" uniqueCount="23">
  <si>
    <t>year</t>
    <phoneticPr fontId="1" type="noConversion"/>
  </si>
  <si>
    <t>segment</t>
    <phoneticPr fontId="1" type="noConversion"/>
  </si>
  <si>
    <t>adjusted_ebit</t>
    <phoneticPr fontId="1" type="noConversion"/>
  </si>
  <si>
    <t>adjusted_ebit_marge</t>
    <phoneticPr fontId="1" type="noConversion"/>
  </si>
  <si>
    <t>adjusted_ebitda</t>
    <phoneticPr fontId="1" type="noConversion"/>
  </si>
  <si>
    <t>ebit</t>
    <phoneticPr fontId="1" type="noConversion"/>
  </si>
  <si>
    <t>fuel</t>
    <phoneticPr fontId="1" type="noConversion"/>
  </si>
  <si>
    <t>material_cost</t>
    <phoneticPr fontId="1" type="noConversion"/>
  </si>
  <si>
    <t>staff_cost</t>
    <phoneticPr fontId="1" type="noConversion"/>
  </si>
  <si>
    <t>total_revenue</t>
    <phoneticPr fontId="1" type="noConversion"/>
  </si>
  <si>
    <t>covid_dummy</t>
    <phoneticPr fontId="1" type="noConversion"/>
  </si>
  <si>
    <t>period_type</t>
    <phoneticPr fontId="1" type="noConversion"/>
  </si>
  <si>
    <t>pre_covid</t>
    <phoneticPr fontId="1" type="noConversion"/>
  </si>
  <si>
    <t>covid_shock</t>
    <phoneticPr fontId="1" type="noConversion"/>
  </si>
  <si>
    <t>post_covid</t>
    <phoneticPr fontId="1" type="noConversion"/>
  </si>
  <si>
    <t>consolidation</t>
  </si>
  <si>
    <t>catering</t>
    <phoneticPr fontId="1" type="noConversion"/>
  </si>
  <si>
    <t>eurowings</t>
    <phoneticPr fontId="1" type="noConversion"/>
  </si>
  <si>
    <t>logistic</t>
    <phoneticPr fontId="1" type="noConversion"/>
  </si>
  <si>
    <t>mro</t>
    <phoneticPr fontId="1" type="noConversion"/>
  </si>
  <si>
    <t>network_airline</t>
    <phoneticPr fontId="1" type="noConversion"/>
  </si>
  <si>
    <t>other</t>
    <phoneticPr fontId="1" type="noConversion"/>
  </si>
  <si>
    <t>lease_charter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</si>
</sst>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1" xfId="0" applyFont="1" applyFill="1" applyBorder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C267-C95F-4F40-B540-10EAF66753F9}">
  <dimension ref="A1:M94"/>
  <sheetViews>
    <sheetView tabSelected="1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F8" sqref="F8"/>
    </sheetView>
  </sheetViews>
  <sheetFormatPr defaultRowHeight="13.2" x14ac:dyDescent="0.25"/>
  <cols>
    <col min="1" max="1" width="14.21875" customWidth="1"/>
    <col min="2" max="2" width="12.109375" customWidth="1"/>
    <col min="4" max="4" width="17.21875" customWidth="1"/>
    <col min="5" max="5" width="15.5546875" customWidth="1"/>
    <col min="6" max="6" width="22.21875" customWidth="1"/>
    <col min="10" max="10" width="15.6640625" customWidth="1"/>
    <col min="11" max="11" width="8.88671875" customWidth="1"/>
    <col min="12" max="12" width="11.44140625" customWidth="1"/>
    <col min="13" max="13" width="18.88671875" customWidth="1"/>
  </cols>
  <sheetData>
    <row r="1" spans="1:13" x14ac:dyDescent="0.25">
      <c r="A1" s="3" t="s">
        <v>10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22</v>
      </c>
      <c r="L1" s="3" t="s">
        <v>8</v>
      </c>
      <c r="M1" s="3" t="s">
        <v>9</v>
      </c>
    </row>
    <row r="2" spans="1:13" x14ac:dyDescent="0.25">
      <c r="A2">
        <v>0</v>
      </c>
      <c r="B2" t="s">
        <v>12</v>
      </c>
      <c r="C2" s="1">
        <v>2012</v>
      </c>
      <c r="D2" s="2" t="s">
        <v>16</v>
      </c>
      <c r="E2" s="4">
        <v>153</v>
      </c>
      <c r="F2" s="5">
        <v>6.1126648022373151E-2</v>
      </c>
      <c r="G2" s="4">
        <v>218</v>
      </c>
      <c r="H2" s="4">
        <v>142</v>
      </c>
      <c r="I2" s="4">
        <v>0</v>
      </c>
      <c r="J2" s="4">
        <v>-1124</v>
      </c>
      <c r="K2" s="4">
        <v>0</v>
      </c>
      <c r="L2" s="4">
        <v>-914</v>
      </c>
      <c r="M2" s="4">
        <v>2503</v>
      </c>
    </row>
    <row r="3" spans="1:13" x14ac:dyDescent="0.25">
      <c r="A3">
        <v>0</v>
      </c>
      <c r="B3" t="s">
        <v>12</v>
      </c>
      <c r="C3" s="1">
        <v>2012</v>
      </c>
      <c r="D3" s="2" t="s">
        <v>15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3040</v>
      </c>
      <c r="K3" s="4">
        <v>0</v>
      </c>
      <c r="L3" s="4">
        <v>8</v>
      </c>
      <c r="M3" s="4">
        <v>-3237</v>
      </c>
    </row>
    <row r="4" spans="1:13" x14ac:dyDescent="0.25">
      <c r="A4">
        <v>0</v>
      </c>
      <c r="B4" t="s">
        <v>12</v>
      </c>
      <c r="C4" s="1">
        <v>2012</v>
      </c>
      <c r="D4" s="2" t="s">
        <v>18</v>
      </c>
      <c r="E4" s="4">
        <v>140</v>
      </c>
      <c r="F4" s="5">
        <v>5.2083333333333336E-2</v>
      </c>
      <c r="G4" s="4">
        <v>198</v>
      </c>
      <c r="H4" s="4">
        <v>139</v>
      </c>
      <c r="I4" s="4">
        <v>-516</v>
      </c>
      <c r="J4" s="4">
        <v>-1953</v>
      </c>
      <c r="K4" s="4">
        <v>0</v>
      </c>
      <c r="L4" s="4">
        <v>-357</v>
      </c>
      <c r="M4" s="4">
        <v>2688</v>
      </c>
    </row>
    <row r="5" spans="1:13" x14ac:dyDescent="0.25">
      <c r="A5">
        <v>0</v>
      </c>
      <c r="B5" t="s">
        <v>12</v>
      </c>
      <c r="C5" s="1">
        <v>2012</v>
      </c>
      <c r="D5" s="2" t="s">
        <v>19</v>
      </c>
      <c r="E5" s="4">
        <v>401</v>
      </c>
      <c r="F5" s="5">
        <v>9.9925242960378774E-2</v>
      </c>
      <c r="G5" s="4">
        <v>502</v>
      </c>
      <c r="H5" s="4">
        <v>395</v>
      </c>
      <c r="I5" s="4">
        <v>0</v>
      </c>
      <c r="J5" s="4">
        <v>-1966</v>
      </c>
      <c r="K5" s="4">
        <v>0</v>
      </c>
      <c r="L5" s="4">
        <v>-1227</v>
      </c>
      <c r="M5" s="4">
        <v>4013</v>
      </c>
    </row>
    <row r="6" spans="1:13" x14ac:dyDescent="0.25">
      <c r="A6">
        <v>0</v>
      </c>
      <c r="B6" t="s">
        <v>12</v>
      </c>
      <c r="C6" s="1">
        <v>2012</v>
      </c>
      <c r="D6" s="2" t="s">
        <v>20</v>
      </c>
      <c r="E6" s="4">
        <v>1379</v>
      </c>
      <c r="F6" s="5">
        <v>0.19414018409241823</v>
      </c>
      <c r="G6" s="4">
        <v>4210</v>
      </c>
      <c r="H6" s="4">
        <v>1096</v>
      </c>
      <c r="I6" s="4">
        <v>-13740</v>
      </c>
      <c r="J6" s="4">
        <v>-31590</v>
      </c>
      <c r="K6" s="4">
        <v>-231</v>
      </c>
      <c r="L6" s="4">
        <v>-7404</v>
      </c>
      <c r="M6" s="4">
        <v>47198</v>
      </c>
    </row>
    <row r="7" spans="1:13" x14ac:dyDescent="0.25">
      <c r="A7">
        <v>0</v>
      </c>
      <c r="B7" t="s">
        <v>12</v>
      </c>
      <c r="C7" s="1">
        <v>2012</v>
      </c>
      <c r="D7" s="2" t="s">
        <v>21</v>
      </c>
      <c r="E7" s="4">
        <v>503</v>
      </c>
      <c r="F7" s="5">
        <v>6.4039408866995107E-2</v>
      </c>
      <c r="G7" s="4">
        <v>584</v>
      </c>
      <c r="H7" s="4">
        <v>457</v>
      </c>
      <c r="I7" s="4">
        <v>0</v>
      </c>
      <c r="J7" s="4">
        <v>-194</v>
      </c>
      <c r="K7" s="4">
        <v>0</v>
      </c>
      <c r="L7" s="4">
        <v>-601</v>
      </c>
      <c r="M7" s="4">
        <v>609</v>
      </c>
    </row>
    <row r="8" spans="1:13" x14ac:dyDescent="0.25">
      <c r="A8">
        <v>0</v>
      </c>
      <c r="B8" t="s">
        <v>12</v>
      </c>
      <c r="C8" s="1">
        <v>2013</v>
      </c>
      <c r="D8" s="2" t="s">
        <v>16</v>
      </c>
      <c r="E8" s="4">
        <v>108</v>
      </c>
      <c r="F8" s="5">
        <v>4.2959427207637228E-2</v>
      </c>
      <c r="G8" s="4">
        <v>170</v>
      </c>
      <c r="H8" s="4">
        <v>105</v>
      </c>
      <c r="I8" s="4">
        <v>0</v>
      </c>
      <c r="J8" s="4">
        <v>-1104</v>
      </c>
      <c r="K8" s="4">
        <v>0</v>
      </c>
      <c r="L8" s="4">
        <v>-927</v>
      </c>
      <c r="M8" s="4">
        <v>2514</v>
      </c>
    </row>
    <row r="9" spans="1:13" x14ac:dyDescent="0.25">
      <c r="A9">
        <v>0</v>
      </c>
      <c r="B9" t="s">
        <v>12</v>
      </c>
      <c r="C9" s="1">
        <v>2013</v>
      </c>
      <c r="D9" s="2" t="s">
        <v>15</v>
      </c>
      <c r="E9" s="4">
        <v>0</v>
      </c>
      <c r="F9" s="5">
        <v>0</v>
      </c>
      <c r="G9" s="4">
        <v>0</v>
      </c>
      <c r="H9" s="4">
        <v>0</v>
      </c>
      <c r="I9" s="4">
        <v>0</v>
      </c>
      <c r="J9" s="4">
        <v>2983</v>
      </c>
      <c r="K9" s="4">
        <v>0</v>
      </c>
      <c r="L9" s="4">
        <v>8</v>
      </c>
      <c r="M9" s="4">
        <v>-3261</v>
      </c>
    </row>
    <row r="10" spans="1:13" x14ac:dyDescent="0.25">
      <c r="A10">
        <v>0</v>
      </c>
      <c r="B10" t="s">
        <v>12</v>
      </c>
      <c r="C10" s="1">
        <v>2013</v>
      </c>
      <c r="D10" s="2" t="s">
        <v>18</v>
      </c>
      <c r="E10" s="4">
        <v>104</v>
      </c>
      <c r="F10" s="5">
        <v>4.2588042588042586E-2</v>
      </c>
      <c r="G10" s="4">
        <v>131</v>
      </c>
      <c r="H10" s="4">
        <v>89</v>
      </c>
      <c r="I10" s="4">
        <v>-477</v>
      </c>
      <c r="J10" s="4">
        <v>-1807</v>
      </c>
      <c r="K10" s="4">
        <v>0</v>
      </c>
      <c r="L10" s="4">
        <v>-382</v>
      </c>
      <c r="M10" s="4">
        <v>2442</v>
      </c>
    </row>
    <row r="11" spans="1:13" x14ac:dyDescent="0.25">
      <c r="A11">
        <v>0</v>
      </c>
      <c r="B11" t="s">
        <v>12</v>
      </c>
      <c r="C11" s="1">
        <v>2013</v>
      </c>
      <c r="D11" s="2" t="s">
        <v>19</v>
      </c>
      <c r="E11" s="4">
        <v>495</v>
      </c>
      <c r="F11" s="5">
        <v>0.11842105263157894</v>
      </c>
      <c r="G11" s="4">
        <v>594</v>
      </c>
      <c r="H11" s="4">
        <v>486</v>
      </c>
      <c r="I11" s="4">
        <v>0</v>
      </c>
      <c r="J11" s="4">
        <v>-2069</v>
      </c>
      <c r="K11" s="4">
        <v>0</v>
      </c>
      <c r="L11" s="4">
        <v>-1227</v>
      </c>
      <c r="M11" s="4">
        <v>4180</v>
      </c>
    </row>
    <row r="12" spans="1:13" x14ac:dyDescent="0.25">
      <c r="A12">
        <v>0</v>
      </c>
      <c r="B12" t="s">
        <v>12</v>
      </c>
      <c r="C12" s="1">
        <v>2013</v>
      </c>
      <c r="D12" s="2" t="s">
        <v>20</v>
      </c>
      <c r="E12" s="4">
        <v>1377.79671545</v>
      </c>
      <c r="F12" s="5">
        <v>0.13139319180346168</v>
      </c>
      <c r="G12" s="4">
        <v>4240.4854334699994</v>
      </c>
      <c r="H12" s="4">
        <v>1265.79671545</v>
      </c>
      <c r="I12" s="4">
        <v>-13152</v>
      </c>
      <c r="J12" s="4">
        <v>-30670</v>
      </c>
      <c r="K12" s="4">
        <v>-154</v>
      </c>
      <c r="L12" s="4">
        <v>-8405</v>
      </c>
      <c r="M12" s="4">
        <v>47107</v>
      </c>
    </row>
    <row r="13" spans="1:13" x14ac:dyDescent="0.25">
      <c r="A13">
        <v>0</v>
      </c>
      <c r="B13" t="s">
        <v>12</v>
      </c>
      <c r="C13" s="1">
        <v>2013</v>
      </c>
      <c r="D13" s="2" t="s">
        <v>21</v>
      </c>
      <c r="E13" s="4">
        <v>74</v>
      </c>
      <c r="F13" s="5">
        <v>5.9374999999999997E-2</v>
      </c>
      <c r="G13" s="4">
        <v>151</v>
      </c>
      <c r="H13" s="4">
        <v>49</v>
      </c>
      <c r="I13" s="4">
        <v>0</v>
      </c>
      <c r="J13" s="4">
        <v>-217</v>
      </c>
      <c r="K13" s="4">
        <v>0</v>
      </c>
      <c r="L13" s="4">
        <v>-630</v>
      </c>
      <c r="M13" s="4">
        <v>640</v>
      </c>
    </row>
    <row r="14" spans="1:13" x14ac:dyDescent="0.25">
      <c r="A14">
        <v>0</v>
      </c>
      <c r="B14" t="s">
        <v>12</v>
      </c>
      <c r="C14" s="1">
        <v>2014</v>
      </c>
      <c r="D14" s="2" t="s">
        <v>16</v>
      </c>
      <c r="E14" s="4">
        <v>88</v>
      </c>
      <c r="F14" s="5">
        <v>3.3421952145841247E-2</v>
      </c>
      <c r="G14" s="4">
        <v>167</v>
      </c>
      <c r="H14" s="4">
        <v>75</v>
      </c>
      <c r="I14" s="4">
        <v>0</v>
      </c>
      <c r="J14" s="4">
        <v>-1156</v>
      </c>
      <c r="K14" s="4">
        <v>0</v>
      </c>
      <c r="L14" s="4">
        <v>-964</v>
      </c>
      <c r="M14" s="4">
        <v>2633</v>
      </c>
    </row>
    <row r="15" spans="1:13" x14ac:dyDescent="0.25">
      <c r="A15">
        <v>0</v>
      </c>
      <c r="B15" t="s">
        <v>12</v>
      </c>
      <c r="C15" s="1">
        <v>2014</v>
      </c>
      <c r="D15" s="2" t="s">
        <v>15</v>
      </c>
      <c r="E15" s="4">
        <v>0</v>
      </c>
      <c r="F15" s="5">
        <v>0</v>
      </c>
      <c r="G15" s="4">
        <v>0</v>
      </c>
      <c r="H15" s="4">
        <v>-7</v>
      </c>
      <c r="I15" s="4">
        <v>0</v>
      </c>
      <c r="J15" s="4">
        <v>3071</v>
      </c>
      <c r="K15" s="4">
        <v>0</v>
      </c>
      <c r="L15" s="4">
        <v>8</v>
      </c>
      <c r="M15" s="4">
        <v>-3349</v>
      </c>
    </row>
    <row r="16" spans="1:13" x14ac:dyDescent="0.25">
      <c r="A16">
        <v>0</v>
      </c>
      <c r="B16" t="s">
        <v>12</v>
      </c>
      <c r="C16" s="1">
        <v>2014</v>
      </c>
      <c r="D16" s="2" t="s">
        <v>18</v>
      </c>
      <c r="E16" s="4">
        <v>123</v>
      </c>
      <c r="F16" s="5">
        <v>5.0513347022587272E-2</v>
      </c>
      <c r="G16" s="4">
        <v>187</v>
      </c>
      <c r="H16" s="4">
        <v>123</v>
      </c>
      <c r="I16" s="4">
        <v>-453</v>
      </c>
      <c r="J16" s="4">
        <v>-1690</v>
      </c>
      <c r="K16" s="4">
        <v>-20</v>
      </c>
      <c r="L16" s="4">
        <v>-387</v>
      </c>
      <c r="M16" s="4">
        <v>2435</v>
      </c>
    </row>
    <row r="17" spans="1:13" x14ac:dyDescent="0.25">
      <c r="A17">
        <v>0</v>
      </c>
      <c r="B17" t="s">
        <v>12</v>
      </c>
      <c r="C17" s="1">
        <v>2014</v>
      </c>
      <c r="D17" s="2" t="s">
        <v>19</v>
      </c>
      <c r="E17" s="4">
        <v>380</v>
      </c>
      <c r="F17" s="5">
        <v>8.7618169241411109E-2</v>
      </c>
      <c r="G17" s="4">
        <v>473</v>
      </c>
      <c r="H17" s="4">
        <v>433</v>
      </c>
      <c r="I17" s="4">
        <v>0</v>
      </c>
      <c r="J17" s="4">
        <v>-2154</v>
      </c>
      <c r="K17" s="4">
        <v>0</v>
      </c>
      <c r="L17" s="4">
        <v>-1186</v>
      </c>
      <c r="M17" s="4">
        <v>4337</v>
      </c>
    </row>
    <row r="18" spans="1:13" x14ac:dyDescent="0.25">
      <c r="A18">
        <v>0</v>
      </c>
      <c r="B18" t="s">
        <v>12</v>
      </c>
      <c r="C18" s="1">
        <v>2014</v>
      </c>
      <c r="D18" s="2" t="s">
        <v>20</v>
      </c>
      <c r="E18" s="4">
        <v>1387</v>
      </c>
      <c r="F18" s="5">
        <v>0.12329660219785726</v>
      </c>
      <c r="G18" s="4">
        <v>3743</v>
      </c>
      <c r="H18" s="4">
        <v>1407</v>
      </c>
      <c r="I18" s="4">
        <v>-12588</v>
      </c>
      <c r="J18" s="4">
        <v>-30408</v>
      </c>
      <c r="K18" s="4">
        <v>-66</v>
      </c>
      <c r="L18" s="4">
        <v>-8467</v>
      </c>
      <c r="M18" s="4">
        <v>46728</v>
      </c>
    </row>
    <row r="19" spans="1:13" x14ac:dyDescent="0.25">
      <c r="A19">
        <v>0</v>
      </c>
      <c r="B19" t="s">
        <v>12</v>
      </c>
      <c r="C19" s="1">
        <v>2014</v>
      </c>
      <c r="D19" s="2" t="s">
        <v>21</v>
      </c>
      <c r="E19" s="4">
        <v>-116</v>
      </c>
      <c r="F19" s="5">
        <v>-0.18267716535433071</v>
      </c>
      <c r="G19" s="4">
        <v>-1</v>
      </c>
      <c r="H19" s="4">
        <v>-339</v>
      </c>
      <c r="I19" s="4">
        <v>0</v>
      </c>
      <c r="J19" s="4">
        <v>-193</v>
      </c>
      <c r="K19" s="4">
        <v>0</v>
      </c>
      <c r="L19" s="4">
        <v>-572</v>
      </c>
      <c r="M19" s="4">
        <v>635</v>
      </c>
    </row>
    <row r="20" spans="1:13" x14ac:dyDescent="0.25">
      <c r="A20">
        <v>0</v>
      </c>
      <c r="B20" t="s">
        <v>12</v>
      </c>
      <c r="C20" s="1">
        <v>2015</v>
      </c>
      <c r="D20" s="2" t="s">
        <v>16</v>
      </c>
      <c r="E20" s="4">
        <v>99</v>
      </c>
      <c r="F20" s="5">
        <v>3.2759761747187296E-2</v>
      </c>
      <c r="G20" s="4">
        <v>179</v>
      </c>
      <c r="H20" s="4">
        <v>85</v>
      </c>
      <c r="I20" s="4">
        <v>0</v>
      </c>
      <c r="J20" s="4">
        <v>-1299</v>
      </c>
      <c r="K20" s="4">
        <v>0</v>
      </c>
      <c r="L20" s="4">
        <v>-1113</v>
      </c>
      <c r="M20" s="4">
        <v>3022</v>
      </c>
    </row>
    <row r="21" spans="1:13" x14ac:dyDescent="0.25">
      <c r="A21">
        <v>0</v>
      </c>
      <c r="B21" t="s">
        <v>12</v>
      </c>
      <c r="C21" s="1">
        <v>2015</v>
      </c>
      <c r="D21" s="2" t="s">
        <v>15</v>
      </c>
      <c r="E21" s="4">
        <v>0</v>
      </c>
      <c r="F21" s="5">
        <v>0</v>
      </c>
      <c r="G21" s="4">
        <v>0</v>
      </c>
      <c r="H21" s="4">
        <v>58</v>
      </c>
      <c r="I21" s="4">
        <v>0</v>
      </c>
      <c r="J21" s="4">
        <v>3231</v>
      </c>
      <c r="K21" s="4">
        <v>0</v>
      </c>
      <c r="L21" s="4">
        <v>7</v>
      </c>
      <c r="M21" s="4">
        <v>-3403</v>
      </c>
    </row>
    <row r="22" spans="1:13" x14ac:dyDescent="0.25">
      <c r="A22">
        <v>0</v>
      </c>
      <c r="B22" t="s">
        <v>12</v>
      </c>
      <c r="C22" s="1">
        <v>2015</v>
      </c>
      <c r="D22" s="2" t="s">
        <v>18</v>
      </c>
      <c r="E22" s="4">
        <v>74</v>
      </c>
      <c r="F22" s="5">
        <v>3.1422505307855626E-2</v>
      </c>
      <c r="G22" s="4">
        <v>226</v>
      </c>
      <c r="H22" s="4">
        <v>3</v>
      </c>
      <c r="I22" s="4">
        <v>-319</v>
      </c>
      <c r="J22" s="4">
        <v>-1577</v>
      </c>
      <c r="K22" s="4">
        <v>-23</v>
      </c>
      <c r="L22" s="4">
        <v>-414</v>
      </c>
      <c r="M22" s="4">
        <v>2355</v>
      </c>
    </row>
    <row r="23" spans="1:13" x14ac:dyDescent="0.25">
      <c r="A23">
        <v>0</v>
      </c>
      <c r="B23" t="s">
        <v>12</v>
      </c>
      <c r="C23" s="1">
        <v>2015</v>
      </c>
      <c r="D23" s="2" t="s">
        <v>19</v>
      </c>
      <c r="E23" s="4">
        <v>454</v>
      </c>
      <c r="F23" s="5">
        <v>8.9037066091390463E-2</v>
      </c>
      <c r="G23" s="4">
        <v>557</v>
      </c>
      <c r="H23" s="4">
        <v>448</v>
      </c>
      <c r="I23" s="4">
        <v>0</v>
      </c>
      <c r="J23" s="4">
        <v>-2656</v>
      </c>
      <c r="K23" s="4">
        <v>0</v>
      </c>
      <c r="L23" s="4">
        <v>-1317</v>
      </c>
      <c r="M23" s="4">
        <v>5099</v>
      </c>
    </row>
    <row r="24" spans="1:13" x14ac:dyDescent="0.25">
      <c r="A24">
        <v>0</v>
      </c>
      <c r="B24" t="s">
        <v>12</v>
      </c>
      <c r="C24" s="1">
        <v>2015</v>
      </c>
      <c r="D24" s="2" t="s">
        <v>20</v>
      </c>
      <c r="E24" s="4">
        <v>2956</v>
      </c>
      <c r="F24" s="5">
        <v>0.23467827303765612</v>
      </c>
      <c r="G24" s="4">
        <v>5560</v>
      </c>
      <c r="H24" s="4">
        <v>2885</v>
      </c>
      <c r="I24" s="4">
        <v>-10927</v>
      </c>
      <c r="J24" s="4">
        <v>-30395</v>
      </c>
      <c r="K24" s="4">
        <v>-60</v>
      </c>
      <c r="L24" s="4">
        <v>-9350</v>
      </c>
      <c r="M24" s="4">
        <v>49087</v>
      </c>
    </row>
    <row r="25" spans="1:13" x14ac:dyDescent="0.25">
      <c r="A25">
        <v>0</v>
      </c>
      <c r="B25" t="s">
        <v>12</v>
      </c>
      <c r="C25" s="1">
        <v>2015</v>
      </c>
      <c r="D25" s="2" t="s">
        <v>21</v>
      </c>
      <c r="E25" s="4">
        <v>-370</v>
      </c>
      <c r="F25" s="5">
        <v>-0.76446280991735538</v>
      </c>
      <c r="G25" s="4">
        <v>-291</v>
      </c>
      <c r="H25" s="4">
        <v>-383</v>
      </c>
      <c r="I25" s="4">
        <v>0</v>
      </c>
      <c r="J25" s="4">
        <v>-193</v>
      </c>
      <c r="K25" s="4">
        <v>0</v>
      </c>
      <c r="L25" s="4">
        <v>-563</v>
      </c>
      <c r="M25" s="4">
        <v>484</v>
      </c>
    </row>
    <row r="26" spans="1:13" x14ac:dyDescent="0.25">
      <c r="A26">
        <v>0</v>
      </c>
      <c r="B26" t="s">
        <v>12</v>
      </c>
      <c r="C26" s="1">
        <v>2016</v>
      </c>
      <c r="D26" s="2" t="s">
        <v>16</v>
      </c>
      <c r="E26" s="4">
        <v>104</v>
      </c>
      <c r="F26" s="5">
        <v>3.2561051972448338E-2</v>
      </c>
      <c r="G26" s="4">
        <v>210</v>
      </c>
      <c r="H26" s="4">
        <v>60</v>
      </c>
      <c r="I26" s="4">
        <v>0</v>
      </c>
      <c r="J26" s="4">
        <v>-1383</v>
      </c>
      <c r="K26" s="4">
        <v>0</v>
      </c>
      <c r="L26" s="4">
        <v>-1184</v>
      </c>
      <c r="M26" s="4">
        <v>3194</v>
      </c>
    </row>
    <row r="27" spans="1:13" x14ac:dyDescent="0.25">
      <c r="A27">
        <v>0</v>
      </c>
      <c r="B27" t="s">
        <v>12</v>
      </c>
      <c r="C27" s="1">
        <v>2016</v>
      </c>
      <c r="D27" s="2" t="s">
        <v>15</v>
      </c>
      <c r="E27" s="4">
        <v>0</v>
      </c>
      <c r="F27" s="5">
        <v>0</v>
      </c>
      <c r="G27" s="4">
        <v>0</v>
      </c>
      <c r="H27" s="4">
        <v>-5</v>
      </c>
      <c r="I27" s="4">
        <v>0</v>
      </c>
      <c r="J27" s="4">
        <v>2938</v>
      </c>
      <c r="K27" s="4">
        <v>0</v>
      </c>
      <c r="L27" s="4">
        <v>7</v>
      </c>
      <c r="M27" s="4">
        <v>-3090</v>
      </c>
    </row>
    <row r="28" spans="1:13" x14ac:dyDescent="0.25">
      <c r="A28">
        <v>0</v>
      </c>
      <c r="B28" t="s">
        <v>12</v>
      </c>
      <c r="C28" s="1">
        <v>2016</v>
      </c>
      <c r="D28" s="2" t="s">
        <v>17</v>
      </c>
      <c r="E28" s="4">
        <v>-91</v>
      </c>
      <c r="F28" s="5">
        <v>-4.4174757281553401E-2</v>
      </c>
      <c r="G28" s="4">
        <v>-24</v>
      </c>
      <c r="H28" s="4">
        <v>-90</v>
      </c>
      <c r="I28" s="4">
        <v>-341</v>
      </c>
      <c r="J28" s="4">
        <v>-1634</v>
      </c>
      <c r="K28" s="4">
        <v>-132</v>
      </c>
      <c r="L28" s="4">
        <v>-277</v>
      </c>
      <c r="M28" s="4">
        <v>2060</v>
      </c>
    </row>
    <row r="29" spans="1:13" x14ac:dyDescent="0.25">
      <c r="A29">
        <v>0</v>
      </c>
      <c r="B29" t="s">
        <v>12</v>
      </c>
      <c r="C29" s="1">
        <v>2016</v>
      </c>
      <c r="D29" s="2" t="s">
        <v>18</v>
      </c>
      <c r="E29" s="4">
        <v>-50</v>
      </c>
      <c r="F29" s="5">
        <v>-2.3992322456813819E-2</v>
      </c>
      <c r="G29" s="4">
        <v>58</v>
      </c>
      <c r="H29" s="4">
        <v>-64</v>
      </c>
      <c r="I29" s="4">
        <v>-259</v>
      </c>
      <c r="J29" s="4">
        <v>-1444</v>
      </c>
      <c r="K29" s="4">
        <v>-642</v>
      </c>
      <c r="L29" s="4">
        <v>-428</v>
      </c>
      <c r="M29" s="4">
        <v>2084</v>
      </c>
    </row>
    <row r="30" spans="1:13" x14ac:dyDescent="0.25">
      <c r="A30">
        <v>0</v>
      </c>
      <c r="B30" t="s">
        <v>12</v>
      </c>
      <c r="C30" s="1">
        <v>2016</v>
      </c>
      <c r="D30" s="2" t="s">
        <v>19</v>
      </c>
      <c r="E30" s="4">
        <v>411</v>
      </c>
      <c r="F30" s="5">
        <v>7.9898911353032662E-2</v>
      </c>
      <c r="G30" s="4">
        <v>518</v>
      </c>
      <c r="H30" s="4">
        <v>410</v>
      </c>
      <c r="I30" s="4">
        <v>0</v>
      </c>
      <c r="J30" s="4">
        <v>-2718</v>
      </c>
      <c r="K30" s="4">
        <v>0</v>
      </c>
      <c r="L30" s="4">
        <v>-1272</v>
      </c>
      <c r="M30" s="4">
        <v>5144</v>
      </c>
    </row>
    <row r="31" spans="1:13" x14ac:dyDescent="0.25">
      <c r="A31">
        <v>0</v>
      </c>
      <c r="B31" t="s">
        <v>12</v>
      </c>
      <c r="C31" s="1">
        <v>2016</v>
      </c>
      <c r="D31" s="2" t="s">
        <v>20</v>
      </c>
      <c r="E31" s="4">
        <v>3134</v>
      </c>
      <c r="F31" s="5">
        <v>0.25710942275562154</v>
      </c>
      <c r="G31" s="4">
        <v>5872</v>
      </c>
      <c r="H31" s="4">
        <v>4294</v>
      </c>
      <c r="I31" s="4">
        <v>-8909</v>
      </c>
      <c r="J31" s="4">
        <v>-27337</v>
      </c>
      <c r="K31" s="4">
        <v>-592</v>
      </c>
      <c r="L31" s="4">
        <v>-3551</v>
      </c>
      <c r="M31" s="4">
        <v>45924</v>
      </c>
    </row>
    <row r="32" spans="1:13" x14ac:dyDescent="0.25">
      <c r="A32">
        <v>0</v>
      </c>
      <c r="B32" t="s">
        <v>12</v>
      </c>
      <c r="C32" s="1">
        <v>2016</v>
      </c>
      <c r="D32" s="2" t="s">
        <v>21</v>
      </c>
      <c r="E32" s="4">
        <v>-236</v>
      </c>
      <c r="F32" s="5">
        <v>-0.54004576659038905</v>
      </c>
      <c r="G32" s="4">
        <v>-188</v>
      </c>
      <c r="H32" s="4">
        <v>-221</v>
      </c>
      <c r="I32" s="4">
        <v>0</v>
      </c>
      <c r="J32" s="4">
        <v>-141</v>
      </c>
      <c r="K32" s="4">
        <v>0</v>
      </c>
      <c r="L32" s="4">
        <v>-649</v>
      </c>
      <c r="M32" s="4">
        <v>437</v>
      </c>
    </row>
    <row r="33" spans="1:13" x14ac:dyDescent="0.25">
      <c r="A33">
        <v>0</v>
      </c>
      <c r="B33" t="s">
        <v>12</v>
      </c>
      <c r="C33" s="1">
        <v>2017</v>
      </c>
      <c r="D33" s="2" t="s">
        <v>16</v>
      </c>
      <c r="E33" s="4">
        <v>66</v>
      </c>
      <c r="F33" s="5">
        <v>2.0503261882572201E-2</v>
      </c>
      <c r="G33" s="4">
        <v>156</v>
      </c>
      <c r="H33" s="4">
        <v>45</v>
      </c>
      <c r="I33" s="4">
        <v>0</v>
      </c>
      <c r="J33" s="4">
        <v>-1396</v>
      </c>
      <c r="K33" s="4">
        <v>0</v>
      </c>
      <c r="L33" s="4">
        <v>-1221</v>
      </c>
      <c r="M33" s="4">
        <v>3219</v>
      </c>
    </row>
    <row r="34" spans="1:13" x14ac:dyDescent="0.25">
      <c r="A34">
        <v>0</v>
      </c>
      <c r="B34" t="s">
        <v>12</v>
      </c>
      <c r="C34" s="1">
        <v>2017</v>
      </c>
      <c r="D34" s="2" t="s">
        <v>15</v>
      </c>
      <c r="E34" s="4">
        <v>23</v>
      </c>
      <c r="F34" s="5">
        <f>E34/M34</f>
        <v>-6.8208778173190982E-3</v>
      </c>
      <c r="G34" s="4">
        <v>0</v>
      </c>
      <c r="H34" s="4">
        <v>18</v>
      </c>
      <c r="I34" s="4">
        <v>0</v>
      </c>
      <c r="J34" s="4">
        <v>3260</v>
      </c>
      <c r="K34" s="4">
        <v>0</v>
      </c>
      <c r="L34" s="4">
        <v>8</v>
      </c>
      <c r="M34" s="4">
        <v>-3372</v>
      </c>
    </row>
    <row r="35" spans="1:13" x14ac:dyDescent="0.25">
      <c r="A35">
        <v>0</v>
      </c>
      <c r="B35" t="s">
        <v>12</v>
      </c>
      <c r="C35" s="1">
        <v>2017</v>
      </c>
      <c r="D35" s="2" t="s">
        <v>17</v>
      </c>
      <c r="E35" s="4">
        <v>94</v>
      </c>
      <c r="F35" s="5">
        <v>2.326156891858451E-2</v>
      </c>
      <c r="G35" s="4">
        <v>360</v>
      </c>
      <c r="H35" s="4">
        <v>9</v>
      </c>
      <c r="I35" s="4">
        <v>-733</v>
      </c>
      <c r="J35" s="4">
        <v>-3076</v>
      </c>
      <c r="K35" s="4">
        <v>-391</v>
      </c>
      <c r="L35" s="4">
        <v>-499</v>
      </c>
      <c r="M35" s="4">
        <v>4041</v>
      </c>
    </row>
    <row r="36" spans="1:13" x14ac:dyDescent="0.25">
      <c r="A36">
        <v>0</v>
      </c>
      <c r="B36" t="s">
        <v>12</v>
      </c>
      <c r="C36" s="1">
        <v>2017</v>
      </c>
      <c r="D36" s="2" t="s">
        <v>18</v>
      </c>
      <c r="E36" s="4">
        <v>242</v>
      </c>
      <c r="F36" s="5">
        <v>9.5879556259904908E-2</v>
      </c>
      <c r="G36" s="4">
        <v>337</v>
      </c>
      <c r="H36" s="4">
        <v>240</v>
      </c>
      <c r="I36" s="4">
        <v>-326</v>
      </c>
      <c r="J36" s="4">
        <v>-1613</v>
      </c>
      <c r="K36" s="4">
        <v>-708</v>
      </c>
      <c r="L36" s="4">
        <v>-431</v>
      </c>
      <c r="M36" s="4">
        <v>2524</v>
      </c>
    </row>
    <row r="37" spans="1:13" x14ac:dyDescent="0.25">
      <c r="A37">
        <v>0</v>
      </c>
      <c r="B37" t="s">
        <v>12</v>
      </c>
      <c r="C37" s="1">
        <v>2017</v>
      </c>
      <c r="D37" s="2" t="s">
        <v>19</v>
      </c>
      <c r="E37" s="4">
        <v>415</v>
      </c>
      <c r="F37" s="5">
        <v>7.6794966691339742E-2</v>
      </c>
      <c r="G37" s="4">
        <v>535</v>
      </c>
      <c r="H37" s="4">
        <v>411</v>
      </c>
      <c r="I37" s="4">
        <v>0</v>
      </c>
      <c r="J37" s="4">
        <v>-3039</v>
      </c>
      <c r="K37" s="4">
        <v>0</v>
      </c>
      <c r="L37" s="4">
        <v>-1356</v>
      </c>
      <c r="M37" s="4">
        <v>5404</v>
      </c>
    </row>
    <row r="38" spans="1:13" x14ac:dyDescent="0.25">
      <c r="A38">
        <v>0</v>
      </c>
      <c r="B38" t="s">
        <v>12</v>
      </c>
      <c r="C38" s="1">
        <v>2017</v>
      </c>
      <c r="D38" s="2" t="s">
        <v>20</v>
      </c>
      <c r="E38" s="4">
        <v>4526</v>
      </c>
      <c r="F38" s="5">
        <v>0.35053832207511598</v>
      </c>
      <c r="G38" s="4">
        <v>7357</v>
      </c>
      <c r="H38" s="4">
        <v>5438</v>
      </c>
      <c r="I38" s="4">
        <v>-8344</v>
      </c>
      <c r="J38" s="4">
        <v>-26043</v>
      </c>
      <c r="K38" s="4">
        <v>-540</v>
      </c>
      <c r="L38" s="4">
        <v>-7288</v>
      </c>
      <c r="M38" s="4">
        <v>46843</v>
      </c>
    </row>
    <row r="39" spans="1:13" x14ac:dyDescent="0.25">
      <c r="A39">
        <v>0</v>
      </c>
      <c r="B39" t="s">
        <v>12</v>
      </c>
      <c r="C39" s="1">
        <v>2017</v>
      </c>
      <c r="D39" s="2" t="s">
        <v>21</v>
      </c>
      <c r="E39" s="4">
        <v>-130</v>
      </c>
      <c r="F39" s="5">
        <f>E39/M39</f>
        <v>-0.2914798206278027</v>
      </c>
      <c r="G39" s="4">
        <v>-60</v>
      </c>
      <c r="H39" s="4">
        <v>-133</v>
      </c>
      <c r="I39" s="4">
        <v>0</v>
      </c>
      <c r="J39" s="4">
        <v>-231</v>
      </c>
      <c r="K39" s="4">
        <v>0</v>
      </c>
      <c r="L39" s="4">
        <v>-1029</v>
      </c>
      <c r="M39" s="4">
        <v>446</v>
      </c>
    </row>
    <row r="40" spans="1:13" x14ac:dyDescent="0.25">
      <c r="A40">
        <v>0</v>
      </c>
      <c r="B40" t="s">
        <v>12</v>
      </c>
      <c r="C40" s="1">
        <v>2018</v>
      </c>
      <c r="D40" s="2" t="s">
        <v>16</v>
      </c>
      <c r="E40" s="4">
        <v>115</v>
      </c>
      <c r="F40" s="5">
        <v>3.5747590923220392E-2</v>
      </c>
      <c r="G40" s="4">
        <v>181</v>
      </c>
      <c r="H40" s="4">
        <v>110</v>
      </c>
      <c r="I40" s="4">
        <v>0</v>
      </c>
      <c r="J40" s="4">
        <v>-1385</v>
      </c>
      <c r="K40" s="4">
        <v>0</v>
      </c>
      <c r="L40" s="4">
        <v>-1218</v>
      </c>
      <c r="M40" s="4">
        <v>3217</v>
      </c>
    </row>
    <row r="41" spans="1:13" x14ac:dyDescent="0.25">
      <c r="A41">
        <v>0</v>
      </c>
      <c r="B41" t="s">
        <v>12</v>
      </c>
      <c r="C41" s="1">
        <v>2018</v>
      </c>
      <c r="D41" s="2" t="s">
        <v>15</v>
      </c>
      <c r="E41" s="4">
        <v>19</v>
      </c>
      <c r="F41" s="5">
        <f>E41/M41</f>
        <v>-4.8174442190669371E-3</v>
      </c>
      <c r="G41" s="4">
        <v>0</v>
      </c>
      <c r="H41" s="4">
        <v>20</v>
      </c>
      <c r="I41" s="4">
        <v>0</v>
      </c>
      <c r="J41" s="4">
        <v>3148</v>
      </c>
      <c r="K41" s="4">
        <v>0</v>
      </c>
      <c r="L41" s="4">
        <v>8</v>
      </c>
      <c r="M41" s="4">
        <v>-3944</v>
      </c>
    </row>
    <row r="42" spans="1:13" x14ac:dyDescent="0.25">
      <c r="A42">
        <v>0</v>
      </c>
      <c r="B42" t="s">
        <v>12</v>
      </c>
      <c r="C42" s="1">
        <v>2018</v>
      </c>
      <c r="D42" s="2" t="s">
        <v>17</v>
      </c>
      <c r="E42" s="4">
        <v>-231</v>
      </c>
      <c r="F42" s="5">
        <v>-5.4609929078014187E-2</v>
      </c>
      <c r="G42" s="4">
        <v>141</v>
      </c>
      <c r="H42" s="4">
        <v>-231</v>
      </c>
      <c r="I42" s="4">
        <v>-973</v>
      </c>
      <c r="J42" s="4">
        <v>-3174</v>
      </c>
      <c r="K42" s="4">
        <v>-323</v>
      </c>
      <c r="L42" s="4">
        <v>-619</v>
      </c>
      <c r="M42" s="4">
        <v>4230</v>
      </c>
    </row>
    <row r="43" spans="1:13" x14ac:dyDescent="0.25">
      <c r="A43">
        <v>0</v>
      </c>
      <c r="B43" t="s">
        <v>12</v>
      </c>
      <c r="C43" s="1">
        <v>2018</v>
      </c>
      <c r="D43" s="2" t="s">
        <v>18</v>
      </c>
      <c r="E43" s="4">
        <v>268</v>
      </c>
      <c r="F43" s="5">
        <v>9.878363435311463E-2</v>
      </c>
      <c r="G43" s="4">
        <v>372</v>
      </c>
      <c r="H43" s="4">
        <v>263</v>
      </c>
      <c r="I43" s="4">
        <v>-379</v>
      </c>
      <c r="J43" s="4">
        <v>-1753</v>
      </c>
      <c r="K43" s="4">
        <v>-839</v>
      </c>
      <c r="L43" s="4">
        <v>-420</v>
      </c>
      <c r="M43" s="4">
        <v>2713</v>
      </c>
    </row>
    <row r="44" spans="1:13" x14ac:dyDescent="0.25">
      <c r="A44">
        <v>0</v>
      </c>
      <c r="B44" t="s">
        <v>12</v>
      </c>
      <c r="C44" s="1">
        <v>2018</v>
      </c>
      <c r="D44" s="2" t="s">
        <v>19</v>
      </c>
      <c r="E44" s="4">
        <v>425</v>
      </c>
      <c r="F44" s="5">
        <v>7.1814802298073674E-2</v>
      </c>
      <c r="G44" s="4">
        <v>549</v>
      </c>
      <c r="H44" s="4">
        <v>426</v>
      </c>
      <c r="I44" s="4">
        <v>0</v>
      </c>
      <c r="J44" s="4">
        <v>-3359</v>
      </c>
      <c r="K44" s="4">
        <v>0</v>
      </c>
      <c r="L44" s="4">
        <v>-1435</v>
      </c>
      <c r="M44" s="4">
        <v>5918</v>
      </c>
    </row>
    <row r="45" spans="1:13" x14ac:dyDescent="0.25">
      <c r="A45">
        <v>0</v>
      </c>
      <c r="B45" t="s">
        <v>12</v>
      </c>
      <c r="C45" s="1">
        <v>2018</v>
      </c>
      <c r="D45" s="2" t="s">
        <v>20</v>
      </c>
      <c r="E45" s="4">
        <v>2429</v>
      </c>
      <c r="F45" s="5">
        <v>0.10691491702979884</v>
      </c>
      <c r="G45" s="4">
        <v>3926</v>
      </c>
      <c r="H45" s="4">
        <v>2549</v>
      </c>
      <c r="I45" s="4">
        <v>-4731</v>
      </c>
      <c r="J45" s="4">
        <v>-11884</v>
      </c>
      <c r="K45" s="4">
        <v>-181</v>
      </c>
      <c r="L45" s="4">
        <v>-4159</v>
      </c>
      <c r="M45" s="4">
        <v>22719</v>
      </c>
    </row>
    <row r="46" spans="1:13" x14ac:dyDescent="0.25">
      <c r="A46">
        <v>0</v>
      </c>
      <c r="B46" t="s">
        <v>12</v>
      </c>
      <c r="C46" s="1">
        <v>2018</v>
      </c>
      <c r="D46" s="2" t="s">
        <v>21</v>
      </c>
      <c r="E46" s="4">
        <v>-189</v>
      </c>
      <c r="F46" s="5">
        <f>E46/M46</f>
        <v>-0.19090909090909092</v>
      </c>
      <c r="G46" s="4">
        <v>-135</v>
      </c>
      <c r="H46" s="4">
        <v>-163</v>
      </c>
      <c r="I46" s="4">
        <v>0</v>
      </c>
      <c r="J46" s="4">
        <v>-262</v>
      </c>
      <c r="K46" s="4">
        <v>0</v>
      </c>
      <c r="L46" s="4">
        <v>-1081</v>
      </c>
      <c r="M46" s="4">
        <v>990</v>
      </c>
    </row>
    <row r="47" spans="1:13" x14ac:dyDescent="0.25">
      <c r="A47">
        <v>0</v>
      </c>
      <c r="B47" t="s">
        <v>12</v>
      </c>
      <c r="C47" s="1">
        <v>2019</v>
      </c>
      <c r="D47" s="2" t="s">
        <v>16</v>
      </c>
      <c r="E47" s="4">
        <v>128</v>
      </c>
      <c r="F47" s="5">
        <v>3.7999999999999999E-2</v>
      </c>
      <c r="G47" s="4">
        <v>247</v>
      </c>
      <c r="H47" s="4">
        <v>98</v>
      </c>
      <c r="I47" s="4">
        <v>0</v>
      </c>
      <c r="J47" s="4">
        <v>-1441</v>
      </c>
      <c r="K47" s="4">
        <v>0</v>
      </c>
      <c r="L47" s="4">
        <v>-1290</v>
      </c>
      <c r="M47" s="4">
        <v>3360</v>
      </c>
    </row>
    <row r="48" spans="1:13" x14ac:dyDescent="0.25">
      <c r="A48">
        <v>0</v>
      </c>
      <c r="B48" t="s">
        <v>12</v>
      </c>
      <c r="C48" s="1">
        <v>2019</v>
      </c>
      <c r="D48" s="2" t="s">
        <v>15</v>
      </c>
      <c r="E48" s="4">
        <v>-8</v>
      </c>
      <c r="F48" s="5">
        <f>E48/M48</f>
        <v>1.8361257746155612E-3</v>
      </c>
      <c r="G48" s="4">
        <v>0</v>
      </c>
      <c r="H48" s="4">
        <v>-72</v>
      </c>
      <c r="I48" s="4">
        <v>0</v>
      </c>
      <c r="J48" s="4">
        <v>3410</v>
      </c>
      <c r="K48" s="4">
        <v>0</v>
      </c>
      <c r="L48" s="4">
        <v>7</v>
      </c>
      <c r="M48" s="4">
        <v>-4357</v>
      </c>
    </row>
    <row r="49" spans="1:13" x14ac:dyDescent="0.25">
      <c r="A49">
        <v>0</v>
      </c>
      <c r="B49" t="s">
        <v>12</v>
      </c>
      <c r="C49" s="1">
        <v>2019</v>
      </c>
      <c r="D49" s="2" t="s">
        <v>17</v>
      </c>
      <c r="E49" s="4">
        <v>-166</v>
      </c>
      <c r="F49" s="5">
        <v>-0.04</v>
      </c>
      <c r="G49" s="4">
        <v>299</v>
      </c>
      <c r="H49" s="4">
        <v>-174</v>
      </c>
      <c r="I49" s="4">
        <v>-1054</v>
      </c>
      <c r="J49" s="4">
        <v>-3005</v>
      </c>
      <c r="K49" s="4">
        <v>-269.79614842000001</v>
      </c>
      <c r="L49" s="4">
        <v>-628</v>
      </c>
      <c r="M49" s="4">
        <v>4123</v>
      </c>
    </row>
    <row r="50" spans="1:13" x14ac:dyDescent="0.25">
      <c r="A50">
        <v>0</v>
      </c>
      <c r="B50" t="s">
        <v>12</v>
      </c>
      <c r="C50" s="1">
        <v>2019</v>
      </c>
      <c r="D50" s="2" t="s">
        <v>18</v>
      </c>
      <c r="E50" s="4">
        <v>1</v>
      </c>
      <c r="F50" s="5">
        <v>0</v>
      </c>
      <c r="G50" s="4">
        <v>161</v>
      </c>
      <c r="H50" s="4">
        <v>-33</v>
      </c>
      <c r="I50" s="4">
        <v>-337</v>
      </c>
      <c r="J50" s="4">
        <v>-1778</v>
      </c>
      <c r="K50" s="4">
        <v>-896.32057350000014</v>
      </c>
      <c r="L50" s="4">
        <v>-406</v>
      </c>
      <c r="M50" s="4">
        <v>2478</v>
      </c>
    </row>
    <row r="51" spans="1:13" x14ac:dyDescent="0.25">
      <c r="A51">
        <v>0</v>
      </c>
      <c r="B51" t="s">
        <v>12</v>
      </c>
      <c r="C51" s="1">
        <v>2019</v>
      </c>
      <c r="D51" s="2" t="s">
        <v>19</v>
      </c>
      <c r="E51" s="4">
        <v>493</v>
      </c>
      <c r="F51" s="5">
        <v>7.0999999999999994E-2</v>
      </c>
      <c r="G51" s="4">
        <v>700</v>
      </c>
      <c r="H51" s="4">
        <v>502</v>
      </c>
      <c r="I51" s="4">
        <v>0</v>
      </c>
      <c r="J51" s="4">
        <v>-3927</v>
      </c>
      <c r="K51" s="4">
        <v>0</v>
      </c>
      <c r="L51" s="4">
        <v>-1671</v>
      </c>
      <c r="M51" s="4">
        <v>6921</v>
      </c>
    </row>
    <row r="52" spans="1:13" x14ac:dyDescent="0.25">
      <c r="A52">
        <v>0</v>
      </c>
      <c r="B52" t="s">
        <v>12</v>
      </c>
      <c r="C52" s="1">
        <v>2019</v>
      </c>
      <c r="D52" s="2" t="s">
        <v>20</v>
      </c>
      <c r="E52" s="4">
        <v>1805</v>
      </c>
      <c r="F52" s="5">
        <v>7.8E-2</v>
      </c>
      <c r="G52" s="4">
        <v>3483</v>
      </c>
      <c r="H52" s="4">
        <v>1757</v>
      </c>
      <c r="I52" s="4">
        <v>-5326</v>
      </c>
      <c r="J52" s="4">
        <v>-12799</v>
      </c>
      <c r="K52" s="4">
        <v>-246.35887746</v>
      </c>
      <c r="L52" s="4">
        <v>-4210</v>
      </c>
      <c r="M52" s="4">
        <v>23106</v>
      </c>
    </row>
    <row r="53" spans="1:13" x14ac:dyDescent="0.25">
      <c r="A53">
        <v>0</v>
      </c>
      <c r="B53" t="s">
        <v>12</v>
      </c>
      <c r="C53" s="1">
        <v>2019</v>
      </c>
      <c r="D53" s="2" t="s">
        <v>21</v>
      </c>
      <c r="E53" s="4">
        <v>-227</v>
      </c>
      <c r="F53" s="5">
        <f>E53/M53</f>
        <v>-0.28625472887767972</v>
      </c>
      <c r="G53" s="4">
        <v>-120</v>
      </c>
      <c r="H53" s="4">
        <v>-221</v>
      </c>
      <c r="I53" s="4">
        <v>0</v>
      </c>
      <c r="J53" s="4">
        <v>-287</v>
      </c>
      <c r="K53" s="4">
        <v>0</v>
      </c>
      <c r="L53" s="4">
        <v>-913</v>
      </c>
      <c r="M53" s="4">
        <v>793</v>
      </c>
    </row>
    <row r="54" spans="1:13" x14ac:dyDescent="0.25">
      <c r="A54">
        <v>1</v>
      </c>
      <c r="B54" t="s">
        <v>13</v>
      </c>
      <c r="C54" s="1">
        <v>2020</v>
      </c>
      <c r="D54" s="2" t="s">
        <v>16</v>
      </c>
      <c r="E54" s="4">
        <v>-284</v>
      </c>
      <c r="F54" s="5">
        <v>-0.218</v>
      </c>
      <c r="G54" s="4">
        <v>-167</v>
      </c>
      <c r="H54" s="4">
        <v>-431</v>
      </c>
      <c r="I54" s="4">
        <v>0</v>
      </c>
      <c r="J54" s="4">
        <v>-545</v>
      </c>
      <c r="K54" s="4">
        <v>0</v>
      </c>
      <c r="L54" s="4">
        <v>-742</v>
      </c>
      <c r="M54" s="4">
        <v>1305</v>
      </c>
    </row>
    <row r="55" spans="1:13" x14ac:dyDescent="0.25">
      <c r="A55">
        <v>1</v>
      </c>
      <c r="B55" t="s">
        <v>13</v>
      </c>
      <c r="C55" s="1">
        <v>2020</v>
      </c>
      <c r="D55" s="2" t="s">
        <v>15</v>
      </c>
      <c r="E55" s="4">
        <v>135</v>
      </c>
      <c r="F55" s="5">
        <f>E55/M55</f>
        <v>-7.0680628272251314E-2</v>
      </c>
      <c r="G55" s="4">
        <v>0</v>
      </c>
      <c r="H55" s="4">
        <v>133</v>
      </c>
      <c r="I55" s="4">
        <v>0</v>
      </c>
      <c r="J55" s="4">
        <v>1767</v>
      </c>
      <c r="K55" s="4">
        <v>0</v>
      </c>
      <c r="L55" s="4">
        <v>3</v>
      </c>
      <c r="M55" s="4">
        <v>-1910</v>
      </c>
    </row>
    <row r="56" spans="1:13" x14ac:dyDescent="0.25">
      <c r="A56">
        <v>1</v>
      </c>
      <c r="B56" t="s">
        <v>13</v>
      </c>
      <c r="C56" s="1">
        <v>2020</v>
      </c>
      <c r="D56" s="2" t="s">
        <v>17</v>
      </c>
      <c r="E56" s="4">
        <v>-703</v>
      </c>
      <c r="F56" s="5">
        <v>-1.1759999999999999</v>
      </c>
      <c r="G56" s="4">
        <v>-504</v>
      </c>
      <c r="H56" s="4">
        <v>-802</v>
      </c>
      <c r="I56" s="4">
        <v>-129</v>
      </c>
      <c r="J56" s="4">
        <v>-699</v>
      </c>
      <c r="K56" s="4">
        <v>-102.44650911999999</v>
      </c>
      <c r="L56" s="4">
        <v>-176</v>
      </c>
      <c r="M56" s="4">
        <v>598</v>
      </c>
    </row>
    <row r="57" spans="1:13" x14ac:dyDescent="0.25">
      <c r="A57">
        <v>1</v>
      </c>
      <c r="B57" t="s">
        <v>13</v>
      </c>
      <c r="C57" s="1">
        <v>2020</v>
      </c>
      <c r="D57" s="2" t="s">
        <v>18</v>
      </c>
      <c r="E57" s="4">
        <v>772</v>
      </c>
      <c r="F57" s="5">
        <v>0.28000000000000003</v>
      </c>
      <c r="G57" s="4">
        <v>950</v>
      </c>
      <c r="H57" s="4">
        <v>717</v>
      </c>
      <c r="I57" s="4">
        <v>-174</v>
      </c>
      <c r="J57" s="4">
        <v>-1300</v>
      </c>
      <c r="K57" s="4">
        <v>-660.19688154999994</v>
      </c>
      <c r="L57" s="4">
        <v>-377</v>
      </c>
      <c r="M57" s="4">
        <v>2757</v>
      </c>
    </row>
    <row r="58" spans="1:13" x14ac:dyDescent="0.25">
      <c r="A58">
        <v>1</v>
      </c>
      <c r="B58" t="s">
        <v>13</v>
      </c>
      <c r="C58" s="1">
        <v>2020</v>
      </c>
      <c r="D58" s="2" t="s">
        <v>19</v>
      </c>
      <c r="E58" s="4">
        <v>-383</v>
      </c>
      <c r="F58" s="5">
        <v>-0.10199999999999999</v>
      </c>
      <c r="G58" s="4">
        <v>-186</v>
      </c>
      <c r="H58" s="4">
        <v>-508</v>
      </c>
      <c r="I58" s="4">
        <v>0</v>
      </c>
      <c r="J58" s="4">
        <v>-2372</v>
      </c>
      <c r="K58" s="4">
        <v>0</v>
      </c>
      <c r="L58" s="4">
        <v>-1113</v>
      </c>
      <c r="M58" s="4">
        <v>3747</v>
      </c>
    </row>
    <row r="59" spans="1:13" x14ac:dyDescent="0.25">
      <c r="A59">
        <v>1</v>
      </c>
      <c r="B59" t="s">
        <v>13</v>
      </c>
      <c r="C59" s="1">
        <v>2020</v>
      </c>
      <c r="D59" s="2" t="s">
        <v>20</v>
      </c>
      <c r="E59" s="4">
        <v>-4674</v>
      </c>
      <c r="F59" s="5">
        <v>-0.70599999999999996</v>
      </c>
      <c r="G59" s="4">
        <v>-2860</v>
      </c>
      <c r="H59" s="4">
        <v>-6099</v>
      </c>
      <c r="I59" s="4">
        <v>-1570</v>
      </c>
      <c r="J59" s="4">
        <v>-5101</v>
      </c>
      <c r="K59" s="4">
        <v>-143.22186556999998</v>
      </c>
      <c r="L59" s="4">
        <v>-3340</v>
      </c>
      <c r="M59" s="4">
        <v>6622</v>
      </c>
    </row>
    <row r="60" spans="1:13" x14ac:dyDescent="0.25">
      <c r="A60">
        <v>1</v>
      </c>
      <c r="B60" t="s">
        <v>13</v>
      </c>
      <c r="C60" s="1">
        <v>2020</v>
      </c>
      <c r="D60" s="2" t="s">
        <v>21</v>
      </c>
      <c r="E60" s="4">
        <v>-314</v>
      </c>
      <c r="F60" s="5">
        <f>E60/M60</f>
        <v>-0.66808510638297869</v>
      </c>
      <c r="G60" s="4">
        <v>-190</v>
      </c>
      <c r="H60" s="4">
        <v>-363</v>
      </c>
      <c r="I60" s="4">
        <v>0</v>
      </c>
      <c r="J60" s="4">
        <v>-203</v>
      </c>
      <c r="K60" s="4">
        <v>0</v>
      </c>
      <c r="L60" s="4">
        <v>-660</v>
      </c>
      <c r="M60" s="4">
        <v>470</v>
      </c>
    </row>
    <row r="61" spans="1:13" x14ac:dyDescent="0.25">
      <c r="A61">
        <v>1</v>
      </c>
      <c r="B61" t="s">
        <v>13</v>
      </c>
      <c r="C61" s="1">
        <v>2021</v>
      </c>
      <c r="D61" s="2" t="s">
        <v>16</v>
      </c>
      <c r="E61" s="4">
        <v>27</v>
      </c>
      <c r="F61" s="5">
        <v>2.4E-2</v>
      </c>
      <c r="G61" s="4">
        <v>108</v>
      </c>
      <c r="H61" s="4">
        <v>-24</v>
      </c>
      <c r="I61" s="4">
        <v>0</v>
      </c>
      <c r="J61" s="4">
        <v>-416</v>
      </c>
      <c r="K61" s="4">
        <v>0</v>
      </c>
      <c r="L61" s="4">
        <v>-619</v>
      </c>
      <c r="M61" s="4">
        <v>1113</v>
      </c>
    </row>
    <row r="62" spans="1:13" x14ac:dyDescent="0.25">
      <c r="A62">
        <v>1</v>
      </c>
      <c r="B62" t="s">
        <v>13</v>
      </c>
      <c r="C62" s="1">
        <v>2021</v>
      </c>
      <c r="D62" s="2" t="s">
        <v>15</v>
      </c>
      <c r="E62" s="4">
        <v>74</v>
      </c>
      <c r="F62" s="5">
        <f>E62/M62</f>
        <v>-4.1831543244771056E-2</v>
      </c>
      <c r="G62" s="4">
        <v>0</v>
      </c>
      <c r="H62" s="4">
        <v>73</v>
      </c>
      <c r="I62" s="4">
        <v>0</v>
      </c>
      <c r="J62" s="4">
        <v>1684</v>
      </c>
      <c r="K62" s="4">
        <v>0</v>
      </c>
      <c r="L62" s="4">
        <v>1</v>
      </c>
      <c r="M62" s="4">
        <v>-1769</v>
      </c>
    </row>
    <row r="63" spans="1:13" x14ac:dyDescent="0.25">
      <c r="A63">
        <v>1</v>
      </c>
      <c r="B63" t="s">
        <v>13</v>
      </c>
      <c r="C63" s="1">
        <v>2021</v>
      </c>
      <c r="D63" s="2" t="s">
        <v>17</v>
      </c>
      <c r="E63" s="4">
        <v>-230</v>
      </c>
      <c r="F63" s="5">
        <v>-0.28000000000000003</v>
      </c>
      <c r="G63" s="4">
        <v>-25</v>
      </c>
      <c r="H63" s="4">
        <v>-227</v>
      </c>
      <c r="I63" s="4">
        <v>-187</v>
      </c>
      <c r="J63" s="4">
        <v>-607</v>
      </c>
      <c r="K63" s="4">
        <v>-24.862952960000001</v>
      </c>
      <c r="L63" s="4">
        <v>-189</v>
      </c>
      <c r="M63" s="4">
        <v>822</v>
      </c>
    </row>
    <row r="64" spans="1:13" x14ac:dyDescent="0.25">
      <c r="A64">
        <v>1</v>
      </c>
      <c r="B64" t="s">
        <v>13</v>
      </c>
      <c r="C64" s="1">
        <v>2021</v>
      </c>
      <c r="D64" s="2" t="s">
        <v>18</v>
      </c>
      <c r="E64" s="4">
        <v>1493</v>
      </c>
      <c r="F64" s="5">
        <v>0.39300000000000002</v>
      </c>
      <c r="G64" s="4">
        <v>1642</v>
      </c>
      <c r="H64" s="4">
        <v>1497</v>
      </c>
      <c r="I64" s="4">
        <v>-251</v>
      </c>
      <c r="J64" s="4">
        <v>-1665</v>
      </c>
      <c r="K64" s="4">
        <v>-944.44759739999995</v>
      </c>
      <c r="L64" s="4">
        <v>-369</v>
      </c>
      <c r="M64" s="4">
        <v>3800</v>
      </c>
    </row>
    <row r="65" spans="1:13" x14ac:dyDescent="0.25">
      <c r="A65">
        <v>1</v>
      </c>
      <c r="B65" t="s">
        <v>13</v>
      </c>
      <c r="C65" s="1">
        <v>2021</v>
      </c>
      <c r="D65" s="2" t="s">
        <v>19</v>
      </c>
      <c r="E65" s="4">
        <v>210</v>
      </c>
      <c r="F65" s="5">
        <v>5.1999999999999998E-2</v>
      </c>
      <c r="G65" s="4">
        <v>384</v>
      </c>
      <c r="H65" s="4">
        <v>163</v>
      </c>
      <c r="I65" s="4">
        <v>0</v>
      </c>
      <c r="J65" s="4">
        <v>-2075</v>
      </c>
      <c r="K65" s="4">
        <v>0</v>
      </c>
      <c r="L65" s="4">
        <v>-1233</v>
      </c>
      <c r="M65" s="4">
        <v>4003</v>
      </c>
    </row>
    <row r="66" spans="1:13" x14ac:dyDescent="0.25">
      <c r="A66">
        <v>1</v>
      </c>
      <c r="B66" t="s">
        <v>13</v>
      </c>
      <c r="C66" s="1">
        <v>2021</v>
      </c>
      <c r="D66" s="2" t="s">
        <v>20</v>
      </c>
      <c r="E66" s="4">
        <v>-3486</v>
      </c>
      <c r="F66" s="5">
        <v>-0.41599999999999998</v>
      </c>
      <c r="G66" s="4">
        <v>-1920</v>
      </c>
      <c r="H66" s="4">
        <v>-3364</v>
      </c>
      <c r="I66" s="4">
        <v>-1970</v>
      </c>
      <c r="J66" s="4">
        <v>-5687</v>
      </c>
      <c r="K66" s="4">
        <v>-100.54403816</v>
      </c>
      <c r="L66" s="4">
        <v>-3311</v>
      </c>
      <c r="M66" s="4">
        <v>8376</v>
      </c>
    </row>
    <row r="67" spans="1:13" x14ac:dyDescent="0.25">
      <c r="A67">
        <v>1</v>
      </c>
      <c r="B67" t="s">
        <v>13</v>
      </c>
      <c r="C67" s="1">
        <v>2021</v>
      </c>
      <c r="D67" s="2" t="s">
        <v>21</v>
      </c>
      <c r="E67" s="4">
        <v>-437</v>
      </c>
      <c r="F67" s="5">
        <f>E67/M67</f>
        <v>-0.9377682403433476</v>
      </c>
      <c r="G67" s="4">
        <v>-317</v>
      </c>
      <c r="H67" s="4">
        <v>-434</v>
      </c>
      <c r="I67" s="4">
        <v>0</v>
      </c>
      <c r="J67" s="4">
        <v>-180</v>
      </c>
      <c r="K67" s="4">
        <v>0</v>
      </c>
      <c r="L67" s="4">
        <v>-697</v>
      </c>
      <c r="M67" s="4">
        <v>466</v>
      </c>
    </row>
    <row r="68" spans="1:13" x14ac:dyDescent="0.25">
      <c r="A68">
        <v>0</v>
      </c>
      <c r="B68" t="s">
        <v>14</v>
      </c>
      <c r="C68" s="1">
        <v>2022</v>
      </c>
      <c r="D68" s="2" t="s">
        <v>16</v>
      </c>
      <c r="E68" s="4">
        <v>-11</v>
      </c>
      <c r="F68" s="5">
        <v>-6.0000000000000001E-3</v>
      </c>
      <c r="G68" s="4">
        <v>66</v>
      </c>
      <c r="H68" s="4">
        <v>-182</v>
      </c>
      <c r="I68" s="4">
        <v>0</v>
      </c>
      <c r="J68" s="4">
        <v>-784</v>
      </c>
      <c r="K68" s="4">
        <v>0</v>
      </c>
      <c r="L68" s="4">
        <v>-833</v>
      </c>
      <c r="M68" s="4">
        <v>1960</v>
      </c>
    </row>
    <row r="69" spans="1:13" x14ac:dyDescent="0.25">
      <c r="A69">
        <v>0</v>
      </c>
      <c r="B69" t="s">
        <v>14</v>
      </c>
      <c r="C69" s="1">
        <v>2022</v>
      </c>
      <c r="D69" s="2" t="s">
        <v>15</v>
      </c>
      <c r="E69" s="4">
        <v>-36</v>
      </c>
      <c r="F69" s="5">
        <f>E69/M69</f>
        <v>1.2958963282937365E-2</v>
      </c>
      <c r="G69" s="4">
        <v>0</v>
      </c>
      <c r="H69" s="4">
        <v>-38</v>
      </c>
      <c r="I69" s="4">
        <v>0</v>
      </c>
      <c r="J69" s="4">
        <v>2301</v>
      </c>
      <c r="K69" s="4">
        <v>0</v>
      </c>
      <c r="L69" s="4">
        <v>3</v>
      </c>
      <c r="M69" s="4">
        <v>-2778</v>
      </c>
    </row>
    <row r="70" spans="1:13" x14ac:dyDescent="0.25">
      <c r="A70">
        <v>0</v>
      </c>
      <c r="B70" t="s">
        <v>14</v>
      </c>
      <c r="C70" s="1">
        <v>2022</v>
      </c>
      <c r="D70" s="2" t="s">
        <v>17</v>
      </c>
      <c r="E70" s="4">
        <v>-197</v>
      </c>
      <c r="F70" s="5">
        <v>-0.106</v>
      </c>
      <c r="G70" s="4">
        <v>-17</v>
      </c>
      <c r="H70" s="4">
        <v>-200</v>
      </c>
      <c r="I70" s="4">
        <v>-632</v>
      </c>
      <c r="J70" s="4">
        <v>-1512</v>
      </c>
      <c r="K70" s="4">
        <v>-148</v>
      </c>
      <c r="L70" s="4">
        <v>-290</v>
      </c>
      <c r="M70" s="4">
        <v>1857</v>
      </c>
    </row>
    <row r="71" spans="1:13" x14ac:dyDescent="0.25">
      <c r="A71">
        <v>0</v>
      </c>
      <c r="B71" t="s">
        <v>14</v>
      </c>
      <c r="C71" s="1">
        <v>2022</v>
      </c>
      <c r="D71" s="2" t="s">
        <v>18</v>
      </c>
      <c r="E71" s="4">
        <v>1600</v>
      </c>
      <c r="F71" s="5">
        <v>0.34599999999999997</v>
      </c>
      <c r="G71" s="4">
        <v>1770</v>
      </c>
      <c r="H71" s="4">
        <v>1575</v>
      </c>
      <c r="I71" s="4">
        <v>-486</v>
      </c>
      <c r="J71" s="4">
        <v>-2295</v>
      </c>
      <c r="K71" s="4">
        <v>-1287</v>
      </c>
      <c r="L71" s="4">
        <v>-425</v>
      </c>
      <c r="M71" s="4">
        <v>4627</v>
      </c>
    </row>
    <row r="72" spans="1:13" x14ac:dyDescent="0.25">
      <c r="A72">
        <v>0</v>
      </c>
      <c r="B72" t="s">
        <v>14</v>
      </c>
      <c r="C72" s="1">
        <v>2022</v>
      </c>
      <c r="D72" s="2" t="s">
        <v>19</v>
      </c>
      <c r="E72" s="4">
        <v>511</v>
      </c>
      <c r="F72" s="5">
        <v>9.1999999999999998E-2</v>
      </c>
      <c r="G72" s="4">
        <v>689</v>
      </c>
      <c r="H72" s="4">
        <v>456</v>
      </c>
      <c r="I72" s="4">
        <v>0</v>
      </c>
      <c r="J72" s="4">
        <v>-3066</v>
      </c>
      <c r="K72" s="4">
        <v>0</v>
      </c>
      <c r="L72" s="4">
        <v>-1379</v>
      </c>
      <c r="M72" s="4">
        <v>5550</v>
      </c>
    </row>
    <row r="73" spans="1:13" x14ac:dyDescent="0.25">
      <c r="A73">
        <v>0</v>
      </c>
      <c r="B73" t="s">
        <v>14</v>
      </c>
      <c r="C73" s="1">
        <v>2022</v>
      </c>
      <c r="D73" s="2" t="s">
        <v>20</v>
      </c>
      <c r="E73" s="4">
        <v>-361</v>
      </c>
      <c r="F73" s="5">
        <v>-7.999999999999995E-3</v>
      </c>
      <c r="G73" s="4">
        <v>2948</v>
      </c>
      <c r="H73" s="4">
        <v>-315</v>
      </c>
      <c r="I73" s="4">
        <v>-13581</v>
      </c>
      <c r="J73" s="4">
        <v>-27617</v>
      </c>
      <c r="K73" s="4">
        <v>-647</v>
      </c>
      <c r="L73" s="4">
        <v>-8878</v>
      </c>
      <c r="M73" s="4">
        <v>43826</v>
      </c>
    </row>
    <row r="74" spans="1:13" x14ac:dyDescent="0.25">
      <c r="A74">
        <v>0</v>
      </c>
      <c r="B74" t="s">
        <v>14</v>
      </c>
      <c r="C74" s="1">
        <v>2022</v>
      </c>
      <c r="D74" s="2" t="s">
        <v>21</v>
      </c>
      <c r="E74" s="4">
        <v>-255</v>
      </c>
      <c r="F74" s="5">
        <f>E74/M74</f>
        <v>-0.39170506912442399</v>
      </c>
      <c r="G74" s="4">
        <v>-138</v>
      </c>
      <c r="H74" s="4">
        <v>-301</v>
      </c>
      <c r="I74" s="4">
        <v>0</v>
      </c>
      <c r="J74" s="4">
        <v>-298</v>
      </c>
      <c r="K74" s="4">
        <v>0</v>
      </c>
      <c r="L74" s="4">
        <v>-835</v>
      </c>
      <c r="M74" s="4">
        <v>651</v>
      </c>
    </row>
    <row r="75" spans="1:13" x14ac:dyDescent="0.25">
      <c r="A75">
        <v>0</v>
      </c>
      <c r="B75" t="s">
        <v>14</v>
      </c>
      <c r="C75" s="1">
        <v>2023</v>
      </c>
      <c r="D75" s="2" t="s">
        <v>16</v>
      </c>
      <c r="E75" s="4">
        <v>55</v>
      </c>
      <c r="F75" s="5">
        <v>2.8000000000000001E-2</v>
      </c>
      <c r="G75" s="4">
        <v>117</v>
      </c>
      <c r="H75" s="4">
        <v>53</v>
      </c>
      <c r="I75" s="4">
        <v>0</v>
      </c>
      <c r="J75" s="4">
        <v>-770</v>
      </c>
      <c r="K75" s="4">
        <v>0</v>
      </c>
      <c r="L75" s="4">
        <v>-811</v>
      </c>
      <c r="M75" s="4">
        <v>1954</v>
      </c>
    </row>
    <row r="76" spans="1:13" x14ac:dyDescent="0.25">
      <c r="A76">
        <v>0</v>
      </c>
      <c r="B76" t="s">
        <v>14</v>
      </c>
      <c r="C76" s="1">
        <v>2023</v>
      </c>
      <c r="D76" s="2" t="s">
        <v>15</v>
      </c>
      <c r="E76" s="4">
        <v>-47</v>
      </c>
      <c r="F76" s="5">
        <f>E76/M76</f>
        <v>8.8796523710561112E-3</v>
      </c>
      <c r="G76" s="4">
        <v>0</v>
      </c>
      <c r="H76" s="4">
        <v>-38</v>
      </c>
      <c r="I76" s="4">
        <v>0</v>
      </c>
      <c r="J76" s="4">
        <v>3429</v>
      </c>
      <c r="K76" s="4">
        <v>0</v>
      </c>
      <c r="L76" s="4">
        <v>811</v>
      </c>
      <c r="M76" s="4">
        <v>-5293</v>
      </c>
    </row>
    <row r="77" spans="1:13" x14ac:dyDescent="0.25">
      <c r="A77">
        <v>0</v>
      </c>
      <c r="B77" t="s">
        <v>14</v>
      </c>
      <c r="C77" s="1">
        <v>2023</v>
      </c>
      <c r="D77" s="2" t="s">
        <v>17</v>
      </c>
      <c r="E77" s="4">
        <v>205</v>
      </c>
      <c r="F77" s="5">
        <v>7.9000000000000001E-2</v>
      </c>
      <c r="G77" s="4">
        <v>340</v>
      </c>
      <c r="H77" s="4">
        <v>241</v>
      </c>
      <c r="I77" s="4">
        <v>-661</v>
      </c>
      <c r="J77" s="4">
        <v>-1850</v>
      </c>
      <c r="K77" s="4">
        <v>-152</v>
      </c>
      <c r="L77" s="4">
        <v>-349</v>
      </c>
      <c r="M77" s="4">
        <v>2592</v>
      </c>
    </row>
    <row r="78" spans="1:13" x14ac:dyDescent="0.25">
      <c r="A78">
        <v>0</v>
      </c>
      <c r="B78" t="s">
        <v>14</v>
      </c>
      <c r="C78" s="1">
        <v>2023</v>
      </c>
      <c r="D78" s="2" t="s">
        <v>18</v>
      </c>
      <c r="E78" s="4">
        <v>219</v>
      </c>
      <c r="F78" s="5">
        <v>7.3999999999999996E-2</v>
      </c>
      <c r="G78" s="4">
        <v>401</v>
      </c>
      <c r="H78" s="4">
        <v>214</v>
      </c>
      <c r="I78" s="4">
        <v>-389</v>
      </c>
      <c r="J78" s="4">
        <v>-2063</v>
      </c>
      <c r="K78" s="4">
        <v>-1101</v>
      </c>
      <c r="L78" s="4">
        <v>-419</v>
      </c>
      <c r="M78" s="4">
        <v>2977</v>
      </c>
    </row>
    <row r="79" spans="1:13" x14ac:dyDescent="0.25">
      <c r="A79">
        <v>0</v>
      </c>
      <c r="B79" t="s">
        <v>14</v>
      </c>
      <c r="C79" s="1">
        <v>2023</v>
      </c>
      <c r="D79" s="2" t="s">
        <v>19</v>
      </c>
      <c r="E79" s="4">
        <v>628</v>
      </c>
      <c r="F79" s="5">
        <v>9.6000000000000002E-2</v>
      </c>
      <c r="G79" s="4">
        <v>785</v>
      </c>
      <c r="H79" s="4">
        <v>628</v>
      </c>
      <c r="I79" s="4">
        <v>0</v>
      </c>
      <c r="J79" s="4">
        <v>-3844</v>
      </c>
      <c r="K79" s="4">
        <v>0</v>
      </c>
      <c r="L79" s="4">
        <v>-1559</v>
      </c>
      <c r="M79" s="4">
        <v>6547</v>
      </c>
    </row>
    <row r="80" spans="1:13" x14ac:dyDescent="0.25">
      <c r="A80">
        <v>0</v>
      </c>
      <c r="B80" t="s">
        <v>14</v>
      </c>
      <c r="C80" s="1">
        <v>2023</v>
      </c>
      <c r="D80" s="2" t="s">
        <v>20</v>
      </c>
      <c r="E80" s="4">
        <v>3876</v>
      </c>
      <c r="F80" s="5">
        <v>0.35000000000000003</v>
      </c>
      <c r="G80" s="4">
        <v>6984</v>
      </c>
      <c r="H80" s="4">
        <v>3907</v>
      </c>
      <c r="I80" s="4">
        <v>-14443</v>
      </c>
      <c r="J80" s="4">
        <v>-31779</v>
      </c>
      <c r="K80" s="4">
        <v>-716</v>
      </c>
      <c r="L80" s="4">
        <v>-10502</v>
      </c>
      <c r="M80" s="4">
        <v>54293</v>
      </c>
    </row>
    <row r="81" spans="1:13" x14ac:dyDescent="0.25">
      <c r="A81">
        <v>0</v>
      </c>
      <c r="B81" t="s">
        <v>14</v>
      </c>
      <c r="C81" s="1">
        <v>2023</v>
      </c>
      <c r="D81" s="2" t="s">
        <v>21</v>
      </c>
      <c r="E81" s="4">
        <v>-206</v>
      </c>
      <c r="F81" s="5">
        <f>E81/M81</f>
        <v>-0.22391304347826088</v>
      </c>
      <c r="G81" s="4">
        <v>-93</v>
      </c>
      <c r="H81" s="4">
        <v>-252</v>
      </c>
      <c r="I81" s="4">
        <v>0</v>
      </c>
      <c r="J81" s="4">
        <v>-428</v>
      </c>
      <c r="K81" s="4">
        <v>0</v>
      </c>
      <c r="L81" s="4">
        <v>-906</v>
      </c>
      <c r="M81" s="4">
        <v>920</v>
      </c>
    </row>
    <row r="82" spans="1:13" x14ac:dyDescent="0.25">
      <c r="A82">
        <v>0</v>
      </c>
      <c r="B82" t="s">
        <v>14</v>
      </c>
      <c r="C82" s="1">
        <v>2024</v>
      </c>
      <c r="D82" s="2" t="s">
        <v>15</v>
      </c>
      <c r="E82" s="4">
        <v>-115</v>
      </c>
      <c r="F82" s="5">
        <f>E82/M82</f>
        <v>3.0255196001052354E-2</v>
      </c>
      <c r="G82" s="4">
        <v>0</v>
      </c>
      <c r="H82" s="4">
        <v>-113</v>
      </c>
      <c r="I82" s="4">
        <v>0</v>
      </c>
      <c r="J82" s="4">
        <v>2579</v>
      </c>
      <c r="K82" s="4">
        <v>0</v>
      </c>
      <c r="L82" s="4">
        <v>2</v>
      </c>
      <c r="M82" s="4">
        <v>-3801</v>
      </c>
    </row>
    <row r="83" spans="1:13" x14ac:dyDescent="0.25">
      <c r="A83">
        <v>0</v>
      </c>
      <c r="B83" t="s">
        <v>14</v>
      </c>
      <c r="C83" s="1">
        <v>2024</v>
      </c>
      <c r="D83" s="2" t="s">
        <v>17</v>
      </c>
      <c r="E83" s="4">
        <v>203</v>
      </c>
      <c r="F83" s="5">
        <v>7.0999999999999994E-2</v>
      </c>
      <c r="G83" s="4">
        <v>333</v>
      </c>
      <c r="H83" s="4">
        <v>261</v>
      </c>
      <c r="I83" s="4">
        <v>-662</v>
      </c>
      <c r="J83" s="4">
        <v>-1950</v>
      </c>
      <c r="K83" s="4">
        <v>-173</v>
      </c>
      <c r="L83" s="4">
        <v>-410</v>
      </c>
      <c r="M83" s="4">
        <v>2872</v>
      </c>
    </row>
    <row r="84" spans="1:13" x14ac:dyDescent="0.25">
      <c r="A84">
        <v>0</v>
      </c>
      <c r="B84" t="s">
        <v>14</v>
      </c>
      <c r="C84" s="1">
        <v>2024</v>
      </c>
      <c r="D84" s="2" t="s">
        <v>18</v>
      </c>
      <c r="E84" s="4">
        <v>251</v>
      </c>
      <c r="F84" s="5">
        <v>7.6999999999999999E-2</v>
      </c>
      <c r="G84" s="4">
        <v>449</v>
      </c>
      <c r="H84" s="4">
        <v>252</v>
      </c>
      <c r="I84" s="4">
        <v>-368</v>
      </c>
      <c r="J84" s="4">
        <v>-2241</v>
      </c>
      <c r="K84" s="4">
        <v>-1232</v>
      </c>
      <c r="L84" s="4">
        <v>-443</v>
      </c>
      <c r="M84" s="4">
        <v>3263</v>
      </c>
    </row>
    <row r="85" spans="1:13" x14ac:dyDescent="0.25">
      <c r="A85">
        <v>0</v>
      </c>
      <c r="B85" t="s">
        <v>14</v>
      </c>
      <c r="C85" s="1">
        <v>2024</v>
      </c>
      <c r="D85" s="2" t="s">
        <v>19</v>
      </c>
      <c r="E85" s="4">
        <v>607</v>
      </c>
      <c r="F85" s="5">
        <v>8.5000000000000006E-2</v>
      </c>
      <c r="G85" s="4">
        <v>790</v>
      </c>
      <c r="H85" s="4">
        <v>555</v>
      </c>
      <c r="I85" s="4">
        <v>0</v>
      </c>
      <c r="J85" s="4">
        <v>-4511</v>
      </c>
      <c r="K85" s="4">
        <v>0</v>
      </c>
      <c r="L85" s="4">
        <v>-1493</v>
      </c>
      <c r="M85" s="4">
        <v>7183</v>
      </c>
    </row>
    <row r="86" spans="1:13" x14ac:dyDescent="0.25">
      <c r="A86">
        <v>0</v>
      </c>
      <c r="B86" t="s">
        <v>14</v>
      </c>
      <c r="C86" s="1">
        <v>2024</v>
      </c>
      <c r="D86" s="2" t="s">
        <v>20</v>
      </c>
      <c r="E86" s="4">
        <v>1888</v>
      </c>
      <c r="F86" s="5">
        <v>0.222</v>
      </c>
      <c r="G86" s="4">
        <v>5153</v>
      </c>
      <c r="H86" s="4">
        <v>1972</v>
      </c>
      <c r="I86" s="4">
        <v>-14182</v>
      </c>
      <c r="J86" s="4">
        <v>-34093</v>
      </c>
      <c r="K86" s="4">
        <v>-946</v>
      </c>
      <c r="L86" s="4">
        <v>-11585</v>
      </c>
      <c r="M86" s="4">
        <v>56727</v>
      </c>
    </row>
    <row r="87" spans="1:13" x14ac:dyDescent="0.25">
      <c r="A87">
        <v>0</v>
      </c>
      <c r="B87" t="s">
        <v>14</v>
      </c>
      <c r="C87" s="1">
        <v>2024</v>
      </c>
      <c r="D87" s="2" t="s">
        <v>21</v>
      </c>
      <c r="E87" s="4">
        <v>-144</v>
      </c>
      <c r="F87" s="5">
        <f>E87/M87</f>
        <v>-0.11556982343499198</v>
      </c>
      <c r="G87" s="4">
        <v>-69</v>
      </c>
      <c r="H87" s="4">
        <v>-79</v>
      </c>
      <c r="I87" s="4">
        <v>0</v>
      </c>
      <c r="J87" s="4">
        <v>-459</v>
      </c>
      <c r="K87" s="4">
        <v>0</v>
      </c>
      <c r="L87" s="4">
        <v>-1061</v>
      </c>
      <c r="M87" s="4">
        <v>1246</v>
      </c>
    </row>
    <row r="88" spans="1:13" x14ac:dyDescent="0.25">
      <c r="A88">
        <v>0</v>
      </c>
      <c r="B88" t="s">
        <v>14</v>
      </c>
      <c r="C88" s="1">
        <v>2025</v>
      </c>
      <c r="D88" s="2" t="s">
        <v>15</v>
      </c>
      <c r="E88" s="4">
        <v>-28</v>
      </c>
      <c r="F88" s="5">
        <f>E88/M88</f>
        <v>1.0408921933085501E-2</v>
      </c>
      <c r="G88" s="4">
        <v>0</v>
      </c>
      <c r="H88" s="4">
        <v>-35</v>
      </c>
      <c r="I88" s="4">
        <v>0</v>
      </c>
      <c r="J88" s="4">
        <v>1863</v>
      </c>
      <c r="K88" s="4">
        <v>0</v>
      </c>
      <c r="L88" s="4">
        <v>3</v>
      </c>
      <c r="M88" s="4">
        <v>-2690</v>
      </c>
    </row>
    <row r="89" spans="1:13" x14ac:dyDescent="0.25">
      <c r="A89">
        <v>0</v>
      </c>
      <c r="B89" t="s">
        <v>14</v>
      </c>
      <c r="C89" s="1">
        <v>2025</v>
      </c>
      <c r="D89" s="2" t="s">
        <v>17</v>
      </c>
      <c r="E89" s="4">
        <v>61</v>
      </c>
      <c r="F89" s="5">
        <v>2.5999999999999999E-2</v>
      </c>
      <c r="G89" s="4">
        <v>155</v>
      </c>
      <c r="H89" s="4">
        <v>61</v>
      </c>
      <c r="I89" s="4">
        <v>-508</v>
      </c>
      <c r="J89" s="4">
        <v>-1674</v>
      </c>
      <c r="K89" s="4">
        <v>-186</v>
      </c>
      <c r="L89" s="4">
        <v>-335</v>
      </c>
      <c r="M89" s="4">
        <v>2327</v>
      </c>
    </row>
    <row r="90" spans="1:13" x14ac:dyDescent="0.25">
      <c r="A90">
        <v>0</v>
      </c>
      <c r="B90" t="s">
        <v>14</v>
      </c>
      <c r="C90" s="1">
        <v>2025</v>
      </c>
      <c r="D90" s="2" t="s">
        <v>18</v>
      </c>
      <c r="E90" s="4">
        <v>184</v>
      </c>
      <c r="F90" s="5">
        <v>7.3999999999999996E-2</v>
      </c>
      <c r="G90" s="4">
        <v>335</v>
      </c>
      <c r="H90" s="4">
        <v>182</v>
      </c>
      <c r="I90" s="4">
        <v>-263</v>
      </c>
      <c r="J90" s="4">
        <v>-1673</v>
      </c>
      <c r="K90" s="4">
        <v>-906</v>
      </c>
      <c r="L90" s="4">
        <v>-350</v>
      </c>
      <c r="M90" s="4">
        <v>2478</v>
      </c>
    </row>
    <row r="91" spans="1:13" x14ac:dyDescent="0.25">
      <c r="A91">
        <v>0</v>
      </c>
      <c r="B91" t="s">
        <v>14</v>
      </c>
      <c r="C91" s="1">
        <v>2025</v>
      </c>
      <c r="D91" s="2" t="s">
        <v>19</v>
      </c>
      <c r="E91" s="4">
        <v>440</v>
      </c>
      <c r="F91" s="5">
        <v>7.3999999999999996E-2</v>
      </c>
      <c r="G91" s="4">
        <v>554</v>
      </c>
      <c r="H91" s="4">
        <v>446</v>
      </c>
      <c r="I91" s="4">
        <v>0</v>
      </c>
      <c r="J91" s="4">
        <v>-3842</v>
      </c>
      <c r="K91" s="4">
        <v>0</v>
      </c>
      <c r="L91" s="4">
        <v>-1188</v>
      </c>
      <c r="M91" s="4">
        <v>5917</v>
      </c>
    </row>
    <row r="92" spans="1:13" x14ac:dyDescent="0.25">
      <c r="A92">
        <v>0</v>
      </c>
      <c r="B92" t="s">
        <v>14</v>
      </c>
      <c r="C92" s="1">
        <v>2025</v>
      </c>
      <c r="D92" s="2" t="s">
        <v>20</v>
      </c>
      <c r="E92" s="4">
        <v>1639</v>
      </c>
      <c r="F92" s="5">
        <v>0.20499999999999999</v>
      </c>
      <c r="G92" s="4">
        <v>4160</v>
      </c>
      <c r="H92" s="4">
        <v>1620</v>
      </c>
      <c r="I92" s="4">
        <v>-10048</v>
      </c>
      <c r="J92" s="4">
        <v>-26349</v>
      </c>
      <c r="K92" s="4">
        <v>-926</v>
      </c>
      <c r="L92" s="4">
        <v>-9319</v>
      </c>
      <c r="M92" s="4">
        <v>44046</v>
      </c>
    </row>
    <row r="93" spans="1:13" x14ac:dyDescent="0.25">
      <c r="A93">
        <v>0</v>
      </c>
      <c r="B93" t="s">
        <v>14</v>
      </c>
      <c r="C93" s="1">
        <v>2025</v>
      </c>
      <c r="D93" s="2" t="s">
        <v>21</v>
      </c>
      <c r="E93" s="4">
        <v>-30</v>
      </c>
      <c r="F93" s="5">
        <f>E93/M93</f>
        <v>-3.5211267605633804E-2</v>
      </c>
      <c r="G93" s="4">
        <v>43</v>
      </c>
      <c r="H93" s="4">
        <v>-36</v>
      </c>
      <c r="I93" s="4">
        <v>0</v>
      </c>
      <c r="J93" s="4">
        <v>-294</v>
      </c>
      <c r="K93" s="4">
        <v>0</v>
      </c>
      <c r="L93" s="4">
        <v>-795</v>
      </c>
      <c r="M93" s="4">
        <v>852</v>
      </c>
    </row>
    <row r="94" spans="1:13" x14ac:dyDescent="0.25">
      <c r="E94" s="4"/>
      <c r="F94" s="4"/>
      <c r="G94" s="4"/>
      <c r="H94" s="4"/>
      <c r="I94" s="4"/>
      <c r="J94" s="4"/>
      <c r="K94" s="4"/>
      <c r="L94" s="4"/>
      <c r="M94" s="4"/>
    </row>
  </sheetData>
  <autoFilter ref="A1:M93" xr:uid="{A2A1C267-C95F-4F40-B540-10EAF66753F9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4DDF9-24DF-44EF-8B88-58F4CD576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嘉懿 杨</dc:creator>
  <cp:lastModifiedBy>嘉懿 杨</cp:lastModifiedBy>
  <dcterms:created xsi:type="dcterms:W3CDTF">2025-11-13T18:03:49Z</dcterms:created>
  <dcterms:modified xsi:type="dcterms:W3CDTF">2025-11-14T20:10:53Z</dcterms:modified>
</cp:coreProperties>
</file>